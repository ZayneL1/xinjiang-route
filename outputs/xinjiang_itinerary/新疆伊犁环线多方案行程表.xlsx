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afb8a9477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中心" sheetId="1" r:id="Ra8b2e826eeb74343"/>
    <x:sheet xmlns:r="http://schemas.openxmlformats.org/officeDocument/2006/relationships" name="每日时间表" sheetId="2" r:id="Ra66fc95a948148cd"/>
    <x:sheet xmlns:r="http://schemas.openxmlformats.org/officeDocument/2006/relationships" name="Plan B-C模板" sheetId="3" r:id="R0eb934ad453f4ff2"/>
    <x:sheet xmlns:r="http://schemas.openxmlformats.org/officeDocument/2006/relationships" name="住宿与预约" sheetId="4" r:id="Rea0652014ef74c97"/>
    <x:sheet xmlns:r="http://schemas.openxmlformats.org/officeDocument/2006/relationships" name="必带物品" sheetId="5" r:id="R10580be86c1043f0"/>
  </x:sheets>
</x:workbook>
</file>

<file path=xl/comments1.xml><?xml version="1.0" encoding="utf-8"?>
<x:comments xmlns:x="http://schemas.openxmlformats.org/spreadsheetml/2006/main">
  <x:authors>
    <x:author>tc={E41525ED-A0A4-F017-EE78-D2CA2886A785}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来源：当前项目中的《新疆9天8晚伊犁环线自驾行程规划.md》与高德路线缓存数据。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tc={B81E9690-DC98-D3BB-6500-CD59874E5D18}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里程为行程规划估算。出发前一晚请使用实际住宿和景区入口重新导航。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0313A"/>
      <x:name val="Carlito"/>
    </x:font>
    <x:font>
      <x:b/>
      <x:sz val="11"/>
      <x:color rgb="FFFFFFFF"/>
      <x:name val="Carlito"/>
    </x:font>
    <x:font>
      <x:b/>
      <x:sz val="11"/>
      <x:color rgb="FF167B75"/>
      <x:name val="Carlito"/>
    </x:font>
    <x:font>
      <x:b/>
      <x:sz val="11"/>
      <x:color rgb="FF3974A8"/>
      <x:name val="Carlito"/>
    </x:font>
    <x:font>
      <x:b/>
      <x:sz val="11"/>
      <x:color rgb="FFBD7624"/>
      <x:name val="Carlito"/>
    </x:font>
    <x:font>
      <x:b/>
      <x:sz val="11"/>
      <x:color rgb="FF2031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7B75"/>
      </x:patternFill>
    </x:fill>
    <x:fill>
      <x:patternFill patternType="solid">
        <x:fgColor rgb="FFE7F3EF"/>
      </x:patternFill>
    </x:fill>
    <x:fill>
      <x:patternFill patternType="solid">
        <x:fgColor rgb="FF22313A"/>
      </x:patternFill>
    </x:fill>
    <x:fill>
      <x:patternFill patternType="solid">
        <x:fgColor rgb="FFF5F3ED"/>
      </x:patternFill>
    </x:fill>
    <x:fill>
      <x:patternFill patternType="solid">
        <x:fgColor rgb="FFFFF0DE"/>
      </x:patternFill>
    </x:fill>
  </x:fills>
  <x:borders count="7">
    <x:border/>
    <x:border>
      <x:left style="thin">
        <x:color rgb="FF167B75"/>
      </x:left>
      <x:top style="thin">
        <x:color rgb="FF167B75"/>
      </x:top>
    </x:border>
    <x:border>
      <x:right style="thin">
        <x:color rgb="FF167B75"/>
      </x:right>
      <x:top style="thin">
        <x:color rgb="FF167B75"/>
      </x:top>
    </x:border>
    <x:border>
      <x:left style="thin">
        <x:color rgb="FF167B75"/>
      </x:left>
    </x:border>
    <x:border>
      <x:right style="thin">
        <x:color rgb="FF167B75"/>
      </x:right>
    </x:border>
    <x:border>
      <x:left style="thin">
        <x:color rgb="FF167B75"/>
      </x:left>
      <x:bottom style="thin">
        <x:color rgb="FF167B75"/>
      </x:bottom>
    </x:border>
    <x:border>
      <x:right style="thin">
        <x:color rgb="FF167B75"/>
      </x:right>
      <x:bottom style="thin">
        <x:color rgb="FF167B7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200" fontId="7" fillId="3" borderId="6" xfId="0" applyNumberFormat="1" applyFont="1" applyFill="1" applyBorder="1"/>
  </x:cellXfs>
  <x:cellStyles count="1">
    <x:cellStyle name="Normal" xfId="0"/>
  </x:cellStyles>
  <x:dxfs count="9">
    <x:dxf>
      <x:font>
        <x:b/>
        <x:color rgb="FF5E8247"/>
      </x:font>
      <x:fill>
        <x:patternFill patternType="solid">
          <x:bgColor rgb="FFEAF1E5"/>
        </x:patternFill>
      </x:fill>
    </x:dxf>
    <x:dxf>
      <x:font>
        <x:b/>
        <x:color rgb="FFBD7624"/>
      </x:font>
      <x:fill>
        <x:patternFill patternType="solid">
          <x:bgColor rgb="FFFFF0DE"/>
        </x:patternFill>
      </x:fill>
    </x:dxf>
    <x:dxf>
      <x:font>
        <x:b/>
        <x:color rgb="FF5E8247"/>
      </x:font>
      <x:fill>
        <x:patternFill patternType="solid">
          <x:bgColor rgb="FFEAF1E5"/>
        </x:patternFill>
      </x:fill>
    </x:dxf>
    <x:dxf>
      <x:font>
        <x:color rgb="FFBD7624"/>
      </x:font>
      <x:fill>
        <x:patternFill patternType="solid">
          <x:bgColor rgb="FFFFF0DE"/>
        </x:patternFill>
      </x:fill>
    </x:dxf>
    <x:dxf>
      <x:font>
        <x:b/>
        <x:color rgb="FF5E8247"/>
      </x:font>
      <x:fill>
        <x:patternFill patternType="solid">
          <x:bgColor rgb="FFEAF1E5"/>
        </x:patternFill>
      </x:fill>
    </x:dxf>
    <x:dxf>
      <x:font>
        <x:b/>
        <x:color rgb="FF5E8247"/>
      </x:font>
      <x:fill>
        <x:patternFill patternType="solid">
          <x:bgColor rgb="FFEAF1E5"/>
        </x:patternFill>
      </x:fill>
    </x:dxf>
    <x:dxf>
      <x:font>
        <x:b/>
        <x:color rgb="FF5E8247"/>
      </x:font>
      <x:fill>
        <x:patternFill patternType="solid">
          <x:bgColor rgb="FFEAF1E5"/>
        </x:patternFill>
      </x:fill>
    </x:dxf>
    <x:dxf>
      <x:font>
        <x:color rgb="FFBF5945"/>
      </x:font>
      <x:fill>
        <x:patternFill patternType="solid">
          <x:bgColor rgb="FFFBE9E5"/>
        </x:patternFill>
      </x:fill>
    </x:dxf>
    <x:dxf>
      <x:font>
        <x:color rgb="FF69757D"/>
      </x:font>
      <x:fill>
        <x:patternFill patternType="solid">
          <x:bgColor rgb="FFE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9e24fed4a4cc7" /><Relationship Type="http://schemas.openxmlformats.org/officeDocument/2006/relationships/theme" Target="/xl/theme/theme1.xml" Id="R2f8c5c8216ba43de" /><Relationship Type="http://schemas.openxmlformats.org/officeDocument/2006/relationships/sharedStrings" Target="/xl/sharedStrings.xml" Id="Rdcf9d372092940e4" /><Relationship Type="http://schemas.openxmlformats.org/officeDocument/2006/relationships/worksheet" Target="/xl/worksheets/sheet1.xml" Id="Ra8b2e826eeb74343" /><Relationship Type="http://schemas.openxmlformats.org/officeDocument/2006/relationships/worksheet" Target="/xl/worksheets/sheet2.xml" Id="Ra66fc95a948148cd" /><Relationship Type="http://schemas.openxmlformats.org/officeDocument/2006/relationships/worksheet" Target="/xl/worksheets/sheet3.xml" Id="R0eb934ad453f4ff2" /><Relationship Type="http://schemas.openxmlformats.org/officeDocument/2006/relationships/worksheet" Target="/xl/worksheets/sheet4.xml" Id="Rea0652014ef74c97" /><Relationship Type="http://schemas.openxmlformats.org/officeDocument/2006/relationships/worksheet" Target="/xl/worksheets/sheet5.xml" Id="R10580be86c1043f0" /><Relationship Type="http://schemas.microsoft.com/office/2017/10/relationships/person" Target="/xl/persons/person.xml" Id="R52714fe67f594f35" /></Relationships>
</file>

<file path=xl/persons/person.xml><?xml version="1.0" encoding="utf-8"?>
<xltc:personList xmlns:xltc="http://schemas.microsoft.com/office/spreadsheetml/2018/threadedcomments">
  <xltc:person displayName="Zayne" id="{C6F310E9-B74B-4679-AE2A-BD883BD557EA}"/>
</xltc:personList>
</file>

<file path=xl/tables/table1.xml><?xml version="1.0" encoding="utf-8"?>
<x:table xmlns:x="http://schemas.openxmlformats.org/spreadsheetml/2006/main" id="1" name="PlanTimeline" displayName="PlanTimeline" ref="A4:K38" headerRowCount="1">
  <x:tableColumns count="11">
    <x:tableColumn id="1" name="方案"/>
    <x:tableColumn id="2" name="天数"/>
    <x:tableColumn id="3" name="日期"/>
    <x:tableColumn id="4" name="时间"/>
    <x:tableColumn id="5" name="行程/景点"/>
    <x:tableColumn id="6" name="路线分段"/>
    <x:tableColumn id="7" name="里程(km)"/>
    <x:tableColumn id="8" name="预计时间"/>
    <x:tableColumn id="9" name="游玩与执行内容"/>
    <x:tableColumn id="10" name="住宿"/>
    <x:tableColumn id="11" name="注意事项"/>
  </x:tableColumns>
  <x:tableStyleInfo name="TableStyleMedium2" showRowStripes="1"/>
</x:table>
</file>

<file path=xl/tables/table2.xml><?xml version="1.0" encoding="utf-8"?>
<x:table xmlns:x="http://schemas.openxmlformats.org/spreadsheetml/2006/main" id="2" name="BranchPlanTemplate" displayName="BranchPlanTemplate" ref="A4:K20" headerRowCount="1">
  <x:tableColumns count="11">
    <x:tableColumn id="1" name="方案"/>
    <x:tableColumn id="2" name="天数"/>
    <x:tableColumn id="3" name="日期"/>
    <x:tableColumn id="4" name="时间"/>
    <x:tableColumn id="5" name="行程/景点"/>
    <x:tableColumn id="6" name="路线分段"/>
    <x:tableColumn id="7" name="里程(km)"/>
    <x:tableColumn id="8" name="预计时间"/>
    <x:tableColumn id="9" name="游玩与执行内容"/>
    <x:tableColumn id="10" name="住宿"/>
    <x:tableColumn id="11" name="注意事项"/>
  </x:tableColumns>
  <x:tableStyleInfo name="TableStyleMedium2" showRowStripes="1"/>
</x:table>
</file>

<file path=xl/tables/table3.xml><?xml version="1.0" encoding="utf-8"?>
<x:table xmlns:x="http://schemas.openxmlformats.org/spreadsheetml/2006/main" id="3" name="PackingChecklist" displayName="PackingChecklist" ref="A9:E29" headerRowCount="1">
  <x:tableColumns count="5">
    <x:tableColumn id="1" name="适用方案"/>
    <x:tableColumn id="2" name="类别"/>
    <x:tableColumn id="3" name="物品/事项"/>
    <x:tableColumn id="4" name="状态"/>
    <x:tableColumn id="5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6-23T14:18:44.434" personId="{C6F310E9-B74B-4679-AE2A-BD883BD557EA}" id="{E41525ED-A0A4-F017-EE78-D2CA2886A785}">
    <xltc:text>来源：当前项目中的《新疆9天8晚伊犁环线自驾行程规划.md》与高德路线缓存数据。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G5" dT="2026-06-23T14:18:44.434" personId="{C6F310E9-B74B-4679-AE2A-BD883BD557EA}" id="{B81E9690-DC98-D3BB-6500-CD59874E5D18}">
    <xltc:text>里程为行程规划估算。出发前一晚请使用实际住宿和景区入口重新导航。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513232a19d34e20" /><Relationship Type="http://schemas.openxmlformats.org/officeDocument/2006/relationships/vmlDrawing" Target="/xl/drawings/vmldrawing.vml" Id="R9924933038f547af" /><Relationship Type="http://schemas.microsoft.com/office/2017/10/relationships/threadedComment" Target="/xl/threadedcomments/threadedcomment.xml" Id="R99777178f4444f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aad7e09f2334d37" /><Relationship Type="http://schemas.openxmlformats.org/officeDocument/2006/relationships/vmlDrawing" Target="/xl/drawings/vmldrawing2.vml" Id="R93c69524f8604834" /><Relationship Type="http://schemas.microsoft.com/office/2017/10/relationships/threadedComment" Target="/xl/threadedcomments/threadedcomment2.xml" Id="R86a3e6f713574908" /><Relationship Type="http://schemas.openxmlformats.org/officeDocument/2006/relationships/table" Target="/xl/tables/table1.xml" Id="Ra3b97a366b2a46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bed2f765194f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040fb88bb8644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8" hidden="0" customWidth="1"/>
    <x:col min="4" max="4" width="58" hidden="0" customWidth="1"/>
    <x:col min="5" max="5" width="27" hidden="0" customWidth="1"/>
    <x:col min="6" max="6" width="13" hidden="0" customWidth="1"/>
    <x:col min="7" max="7" width="13" hidden="0" customWidth="1"/>
  </x:cols>
  <x:sheetData>
    <x:row r="1" ht="34" customHeight="1">
      <x:c r="A1" s="4" t="str">
        <x:v>新疆伊犁环线自驾｜多方案中心</x:v>
      </x:c>
      <x:c r="B1" s="4"/>
      <x:c r="C1" s="4"/>
      <x:c r="D1" s="4"/>
      <x:c r="E1" s="4"/>
      <x:c r="F1" s="4"/>
      <x:c r="G1" s="4"/>
    </x:row>
    <x:row r="2" ht="34" customHeight="1">
      <x:c r="A2" s="8" t="str">
        <x:v>在这里查看 Plan A / B / C 的适用条件与路线差异；状态列可直接更新。</x:v>
      </x:c>
      <x:c r="B2" s="8"/>
      <x:c r="C2" s="8"/>
      <x:c r="D2" s="8"/>
      <x:c r="E2" s="8"/>
      <x:c r="F2" s="8"/>
      <x:c r="G2" s="8"/>
    </x:row>
    <x:row r="4" ht="15" hidden="0" customHeight="1">
      <x:c r="A4" s="13" t="str">
        <x:v>方案</x:v>
      </x:c>
      <x:c r="B4" s="13" t="str">
        <x:v>定位</x:v>
      </x:c>
      <x:c r="C4" s="13" t="str">
        <x:v>触发/适用条件</x:v>
      </x:c>
      <x:c r="D4" s="13" t="str">
        <x:v>路线概要</x:v>
      </x:c>
      <x:c r="E4" s="13" t="str">
        <x:v>预计里程</x:v>
      </x:c>
      <x:c r="F4" s="13" t="str">
        <x:v>天数</x:v>
      </x:c>
      <x:c r="G4" s="13" t="str">
        <x:v>状态</x:v>
      </x:c>
    </x:row>
    <x:row r="5" ht="26.399999618530273" hidden="0" customHeight="1">
      <x:c r="A5" s="16" t="str">
        <x:v>Plan A</x:v>
      </x:c>
      <x:c r="B5" s="16" t="str">
        <x:v>当前主方案</x:v>
      </x:c>
      <x:c r="C5" s="16" t="str">
        <x:v>独库北段、伊昭公路正常开放且预约成功</x:v>
      </x:c>
      <x:c r="D5" s="16" t="str">
        <x:v>乌鲁木齐 → S101 → 安集海 → 奎屯 → 独库 → 孟克特 → 新源 → 库尔德宁 → 喀拉峻 → 特克斯 → 夏塔 → 昭苏 → 伊宁 → 赛里木湖 → 精河 → 乌鲁木齐</x:v>
      </x:c>
      <x:c r="E5" s="16" t="str">
        <x:v>约2,200公里</x:v>
      </x:c>
      <x:c r="F5" s="16" t="str">
        <x:v>9天</x:v>
      </x:c>
      <x:c r="G5" s="16" t="str">
        <x:v>已规划</x:v>
      </x:c>
    </x:row>
    <x:row r="6" ht="26.399999618530273" hidden="0" customHeight="1">
      <x:c r="A6" s="16" t="str">
        <x:v>Plan B</x:v>
      </x:c>
      <x:c r="B6" s="16" t="str">
        <x:v>独库封路绕行</x:v>
      </x:c>
      <x:c r="C6" s="16" t="str">
        <x:v>7月13日独库北段封闭、未预约成功或山口天气不适合通行</x:v>
      </x:c>
      <x:c r="D6" s="16" t="str">
        <x:v>待规划：建议保留伊犁核心景点，经高速/国道绕行进入伊犁</x:v>
      </x:c>
      <x:c r="E6" s="16" t="str">
        <x:v>待计算</x:v>
      </x:c>
      <x:c r="F6" s="16" t="str">
        <x:v>9天</x:v>
      </x:c>
      <x:c r="G6" s="16" t="str">
        <x:v>待完善</x:v>
      </x:c>
    </x:row>
    <x:row r="7" ht="26.399999618530273" hidden="0" customHeight="1">
      <x:c r="A7" s="16" t="str">
        <x:v>Plan C</x:v>
      </x:c>
      <x:c r="B7" s="16" t="str">
        <x:v>极端天气保守方案</x:v>
      </x:c>
      <x:c r="C7" s="16" t="str">
        <x:v>独库与伊昭同时受限、连续降雨或多个山地景区关闭</x:v>
      </x:c>
      <x:c r="D7" s="16" t="str">
        <x:v>待规划：减少山地景区，增加伊宁、赛里木湖及城市/低海拔节点</x:v>
      </x:c>
      <x:c r="E7" s="16" t="str">
        <x:v>待计算</x:v>
      </x:c>
      <x:c r="F7" s="16" t="str">
        <x:v>9天</x:v>
      </x:c>
      <x:c r="G7" s="16" t="str">
        <x:v>待完善</x:v>
      </x:c>
    </x:row>
    <x:row r="8"/>
    <x:row r="9"/>
    <x:row r="10" ht="15" hidden="0" customHeight="1">
      <x:c r="A10" s="13" t="str">
        <x:v>方案</x:v>
      </x:c>
      <x:c r="B10" s="13" t="str">
        <x:v>天数</x:v>
      </x:c>
      <x:c r="C10" s="13" t="str">
        <x:v>日期</x:v>
      </x:c>
      <x:c r="D10" s="13" t="str">
        <x:v>一句话行程</x:v>
      </x:c>
      <x:c r="E10" s="13" t="str">
        <x:v>住宿位置</x:v>
      </x:c>
      <x:c r="F10" s="13" t="str">
        <x:v>住宿状态</x:v>
      </x:c>
    </x:row>
    <x:row r="11" ht="26.399999618530273" hidden="0" customHeight="1">
      <x:c r="A11" s="16" t="str">
        <x:v>Plan A</x:v>
      </x:c>
      <x:c r="B11" s="16" t="str">
        <x:v>Day 0/1</x:v>
      </x:c>
      <x:c r="C11" s="16" t="str">
        <x:v>7月11日</x:v>
      </x:c>
      <x:c r="D11" s="16" t="str">
        <x:v>乌鲁木齐落地休整、自治区博物馆、国际大巴扎</x:v>
      </x:c>
      <x:c r="E11" s="16" t="str">
        <x:v>如家NEO酒店（黄河路中医院和田二街店）</x:v>
      </x:c>
      <x:c r="F11" s="16" t="str">
        <x:v>已订</x:v>
      </x:c>
    </x:row>
    <x:row r="12" ht="15" hidden="0" customHeight="1">
      <x:c r="A12" s="16" t="str">
        <x:v>Plan A</x:v>
      </x:c>
      <x:c r="B12" s="16" t="str">
        <x:v>Day 2</x:v>
      </x:c>
      <x:c r="C12" s="16" t="str">
        <x:v>7月12日</x:v>
      </x:c>
      <x:c r="D12" s="16" t="str">
        <x:v>乌鲁木齐 → S101百里丹霞 → 安集海大峡谷 → 奎屯；肯斯瓦特按时间选择</x:v>
      </x:c>
      <x:c r="E12" s="16" t="str">
        <x:v>奎屯市</x:v>
      </x:c>
      <x:c r="F12" s="16" t="str">
        <x:v>待订</x:v>
      </x:c>
    </x:row>
    <x:row r="13" ht="15" hidden="0" customHeight="1">
      <x:c r="A13" s="16" t="str">
        <x:v>Plan A</x:v>
      </x:c>
      <x:c r="B13" s="16" t="str">
        <x:v>Day 3</x:v>
      </x:c>
      <x:c r="C13" s="16" t="str">
        <x:v>7月13日</x:v>
      </x:c>
      <x:c r="D13" s="16" t="str">
        <x:v>奎屯 → 独库北段 → 乔尔玛 → 唐布拉 → 孟克特 → 新源</x:v>
      </x:c>
      <x:c r="E13" s="16" t="str">
        <x:v>新源县城</x:v>
      </x:c>
      <x:c r="F13" s="16" t="str">
        <x:v>待订</x:v>
      </x:c>
    </x:row>
    <x:row r="14" ht="15" hidden="0" customHeight="1">
      <x:c r="A14" s="16" t="str">
        <x:v>Plan A</x:v>
      </x:c>
      <x:c r="B14" s="16" t="str">
        <x:v>Day 4</x:v>
      </x:c>
      <x:c r="C14" s="16" t="str">
        <x:v>7月14日</x:v>
      </x:c>
      <x:c r="D14" s="16" t="str">
        <x:v>新源 → 库尔德宁，下午游雪岭云杉与山谷草甸</x:v>
      </x:c>
      <x:c r="E14" s="16" t="str">
        <x:v>库尔德宁镇/景区入口附近</x:v>
      </x:c>
      <x:c r="F14" s="16" t="str">
        <x:v>待订</x:v>
      </x:c>
    </x:row>
    <x:row r="15" ht="15" hidden="0" customHeight="1">
      <x:c r="A15" s="16" t="str">
        <x:v>Plan A</x:v>
      </x:c>
      <x:c r="B15" s="16" t="str">
        <x:v>Day 5</x:v>
      </x:c>
      <x:c r="C15" s="16" t="str">
        <x:v>7月15日</x:v>
      </x:c>
      <x:c r="D15" s="16" t="str">
        <x:v>库尔德宁 → 喀拉峻 → 特克斯</x:v>
      </x:c>
      <x:c r="E15" s="16" t="str">
        <x:v>特克斯县城</x:v>
      </x:c>
      <x:c r="F15" s="16" t="str">
        <x:v>待订</x:v>
      </x:c>
    </x:row>
    <x:row r="16" ht="15" hidden="0" customHeight="1">
      <x:c r="A16" s="16" t="str">
        <x:v>Plan A</x:v>
      </x:c>
      <x:c r="B16" s="16" t="str">
        <x:v>Day 6</x:v>
      </x:c>
      <x:c r="C16" s="16" t="str">
        <x:v>7月16日</x:v>
      </x:c>
      <x:c r="D16" s="16" t="str">
        <x:v>特克斯直接前往夏塔，游览后返回昭苏</x:v>
      </x:c>
      <x:c r="E16" s="16" t="str">
        <x:v>昭苏县城</x:v>
      </x:c>
      <x:c r="F16" s="16" t="str">
        <x:v>待订</x:v>
      </x:c>
    </x:row>
    <x:row r="17" ht="15" hidden="0" customHeight="1">
      <x:c r="A17" s="16" t="str">
        <x:v>Plan A</x:v>
      </x:c>
      <x:c r="B17" s="16" t="str">
        <x:v>Day 7</x:v>
      </x:c>
      <x:c r="C17" s="16" t="str">
        <x:v>7月17日</x:v>
      </x:c>
      <x:c r="D17" s="16" t="str">
        <x:v>昭苏 → 伊昭公路 → 伊宁 → 喀赞其 → 六星街</x:v>
      </x:c>
      <x:c r="E17" s="16" t="str">
        <x:v>伊宁市</x:v>
      </x:c>
      <x:c r="F17" s="16" t="str">
        <x:v>待订</x:v>
      </x:c>
    </x:row>
    <x:row r="18" ht="15" hidden="0" customHeight="1">
      <x:c r="A18" s="16" t="str">
        <x:v>Plan A</x:v>
      </x:c>
      <x:c r="B18" s="16" t="str">
        <x:v>Day 8</x:v>
      </x:c>
      <x:c r="C18" s="16" t="str">
        <x:v>7月18日</x:v>
      </x:c>
      <x:c r="D18" s="16" t="str">
        <x:v>伊宁 → 果子沟 → 赛里木湖环湖 → 精河</x:v>
      </x:c>
      <x:c r="E18" s="16" t="str">
        <x:v>精河县城</x:v>
      </x:c>
      <x:c r="F18" s="16" t="str">
        <x:v>待订</x:v>
      </x:c>
    </x:row>
    <x:row r="19" ht="15" hidden="0" customHeight="1">
      <x:c r="A19" s="16" t="str">
        <x:v>Plan A</x:v>
      </x:c>
      <x:c r="B19" s="16" t="str">
        <x:v>Day 9</x:v>
      </x:c>
      <x:c r="C19" s="16" t="str">
        <x:v>7月19日</x:v>
      </x:c>
      <x:c r="D19" s="16" t="str">
        <x:v>精河 → 乌鲁木齐还车 → 17:00航班</x:v>
      </x:c>
      <x:c r="E19" s="16" t="str">
        <x:v>当日返程</x:v>
      </x:c>
      <x:c r="F19" s="16" t="str">
        <x:v>无需住宿</x:v>
      </x:c>
    </x:row>
    <x:row r="20" ht="15" hidden="0" customHeight="1">
      <x:c r="A20" s="16" t="str">
        <x:v>Plan B</x:v>
      </x:c>
      <x:c r="B20" s="16" t="str">
        <x:v>Day 2-9</x:v>
      </x:c>
      <x:c r="C20" s="16" t="str">
        <x:v>7月12日-19日</x:v>
      </x:c>
      <x:c r="D20" s="16" t="str">
        <x:v>独库封路备用路线，待确认绕行方向后填写</x:v>
      </x:c>
      <x:c r="E20" s="16" t="str">
        <x:v>按绕行节点确定</x:v>
      </x:c>
      <x:c r="F20" s="16" t="str">
        <x:v>待规划</x:v>
      </x:c>
    </x:row>
    <x:row r="21" ht="15" hidden="0" customHeight="1">
      <x:c r="A21" s="16" t="str">
        <x:v>Plan C</x:v>
      </x:c>
      <x:c r="B21" s="16" t="str">
        <x:v>Day 2-9</x:v>
      </x:c>
      <x:c r="C21" s="16" t="str">
        <x:v>7月12日-19日</x:v>
      </x:c>
      <x:c r="D21" s="16" t="str">
        <x:v>极端天气保守路线，待天气窗口确定后填写</x:v>
      </x:c>
      <x:c r="E21" s="16" t="str">
        <x:v>优先城市及低海拔住宿</x:v>
      </x:c>
      <x:c r="F21" s="16" t="str">
        <x:v>待规划</x:v>
      </x:c>
    </x:row>
  </x:sheetData>
  <x:mergeCells>
    <x:mergeCell ref="A1:G1"/>
    <x:mergeCell ref="A2:G2"/>
  </x:mergeCells>
  <x:conditionalFormatting sqref="G5:G7">
    <x:cfRule type="containsText" dxfId="0" priority="1" operator="containsText" text="已规划"/>
    <x:cfRule type="containsText" dxfId="1" priority="2" operator="containsText" text="待完善"/>
  </x:conditionalFormatting>
  <x:conditionalFormatting sqref="F11:F21">
    <x:cfRule type="containsText" dxfId="2" priority="3" operator="containsText" text="已订"/>
    <x:cfRule type="containsText" dxfId="3" priority="4" operator="containsText" text="待订"/>
  </x:conditionalFormatting>
  <x:dataValidations count="2">
    <x:dataValidation type="list" sqref="G5:G7">
      <x:formula1>"已规划,待完善,启用,停用"</x:formula1>
    </x:dataValidation>
    <x:dataValidation type="list" sqref="F11:F21">
      <x:formula1>"已订,待订,无需住宿,待规划"</x:formula1>
    </x:dataValidation>
  </x:dataValidations>
  <x:pageMargins left="0.7" right="0.7" top="0.75" bottom="0.75" header="0.3" footer="0.3"/>
  <x:legacyDrawing xmlns:r="http://schemas.openxmlformats.org/officeDocument/2006/relationships" r:id="R9924933038f547a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5" hidden="0" customWidth="1"/>
    <x:col min="5" max="5" width="27" hidden="0" customWidth="1"/>
    <x:col min="6" max="6" width="34" hidden="0" customWidth="1"/>
    <x:col min="7" max="7" width="12" hidden="0" customWidth="1"/>
    <x:col min="8" max="8" width="20" hidden="0" customWidth="1"/>
    <x:col min="9" max="9" width="36" hidden="0" customWidth="1"/>
    <x:col min="10" max="10" width="22" hidden="0" customWidth="1"/>
    <x:col min="11" max="11" width="38" hidden="0" customWidth="1"/>
  </x:cols>
  <x:sheetData>
    <x:row r="1" ht="34" customHeight="1">
      <x:c r="A1" s="4" t="str">
        <x:v>每日时间安排与分段路线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8" t="str">
        <x:v>按“方案”筛选 Plan A / B / C；公里数和驾驶时间为规划估算，山区建议额外预留20%。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15" hidden="0" customHeight="1">
      <x:c r="A4" s="13" t="str">
        <x:v>方案</x:v>
      </x:c>
      <x:c r="B4" s="13" t="str">
        <x:v>天数</x:v>
      </x:c>
      <x:c r="C4" s="13" t="str">
        <x:v>日期</x:v>
      </x:c>
      <x:c r="D4" s="13" t="str">
        <x:v>时间</x:v>
      </x:c>
      <x:c r="E4" s="13" t="str">
        <x:v>行程/景点</x:v>
      </x:c>
      <x:c r="F4" s="13" t="str">
        <x:v>路线分段</x:v>
      </x:c>
      <x:c r="G4" s="13" t="str">
        <x:v>里程(km)</x:v>
      </x:c>
      <x:c r="H4" s="13" t="str">
        <x:v>预计时间</x:v>
      </x:c>
      <x:c r="I4" s="13" t="str">
        <x:v>游玩与执行内容</x:v>
      </x:c>
      <x:c r="J4" s="13" t="str">
        <x:v>住宿</x:v>
      </x:c>
      <x:c r="K4" s="13" t="str">
        <x:v>注意事项</x:v>
      </x:c>
    </x:row>
    <x:row r="5" ht="15" hidden="0" customHeight="1">
      <x:c r="A5" s="19" t="str">
        <x:v>Plan A</x:v>
      </x:c>
      <x:c r="B5" s="16" t="str">
        <x:v>Day 0</x:v>
      </x:c>
      <x:c r="C5" s="16" t="str">
        <x:v>7月11日</x:v>
      </x:c>
      <x:c r="D5" s="21" t="str">
        <x:v>01:00</x:v>
      </x:c>
      <x:c r="E5" s="16" t="str">
        <x:v>抵达乌鲁木齐天山国际机场</x:v>
      </x:c>
      <x:c r="F5" s="16" t="str">
        <x:v>机场 → 如家NEO酒店</x:v>
      </x:c>
      <x:c r="G5" s="24" t="str">
        <x:v>25-30</x:v>
      </x:c>
      <x:c r="H5" s="24" t="str">
        <x:v>35-50分钟</x:v>
      </x:c>
      <x:c r="I5" s="16" t="str">
        <x:v>取行李、网约车前往酒店</x:v>
      </x:c>
      <x:c r="J5" s="16" t="str">
        <x:v>如家NEO酒店</x:v>
      </x:c>
      <x:c r="K5" s="16" t="str">
        <x:v>酒店订单从7月10日晚开始</x:v>
      </x:c>
    </x:row>
    <x:row r="6" ht="15" hidden="0" customHeight="1">
      <x:c r="A6" s="19" t="str">
        <x:v>Plan A</x:v>
      </x:c>
      <x:c r="B6" s="16" t="str">
        <x:v>Day 0</x:v>
      </x:c>
      <x:c r="C6" s="16" t="str">
        <x:v>7月11日</x:v>
      </x:c>
      <x:c r="D6" s="21" t="str">
        <x:v>02:00-03:30</x:v>
      </x:c>
      <x:c r="E6" s="16" t="str">
        <x:v>入住、附近夜宵、休息</x:v>
      </x:c>
      <x:c r="F6" s="16" t="str">
        <x:v>酒店周边</x:v>
      </x:c>
      <x:c r="G6" s="24" t="str"/>
      <x:c r="H6" s="24" t="str"/>
      <x:c r="I6" s="16" t="str">
        <x:v>简单夜宵，不跨区折返</x:v>
      </x:c>
      <x:c r="J6" s="16" t="str">
        <x:v>如家NEO酒店</x:v>
      </x:c>
      <x:c r="K6" s="16" t="str">
        <x:v>提前确认24小时前台保留房间</x:v>
      </x:c>
    </x:row>
    <x:row r="7" ht="15" hidden="0" customHeight="1">
      <x:c r="A7" s="19" t="str">
        <x:v>Plan A</x:v>
      </x:c>
      <x:c r="B7" s="16" t="str">
        <x:v>Day 1</x:v>
      </x:c>
      <x:c r="C7" s="16" t="str">
        <x:v>7月11日</x:v>
      </x:c>
      <x:c r="D7" s="21" t="str">
        <x:v>10:00-10:45</x:v>
      </x:c>
      <x:c r="E7" s="16" t="str">
        <x:v>起床、早餐、出发</x:v>
      </x:c>
      <x:c r="F7" s="16" t="str">
        <x:v>酒店 → 自治区博物馆</x:v>
      </x:c>
      <x:c r="G7" s="24" t="str">
        <x:v>6-8</x:v>
      </x:c>
      <x:c r="H7" s="24" t="str">
        <x:v>20-30分钟</x:v>
      </x:c>
      <x:c r="I7" s="16" t="str">
        <x:v>打车</x:v>
      </x:c>
      <x:c r="J7" s="16" t="str">
        <x:v>如家NEO酒店</x:v>
      </x:c>
      <x:c r="K7" s="16" t="str">
        <x:v>凌晨入睡，上午不要排太早</x:v>
      </x:c>
    </x:row>
    <x:row r="8" ht="15" hidden="0" customHeight="1">
      <x:c r="A8" s="19" t="str">
        <x:v>Plan A</x:v>
      </x:c>
      <x:c r="B8" s="16" t="str">
        <x:v>Day 1</x:v>
      </x:c>
      <x:c r="C8" s="16" t="str">
        <x:v>7月11日</x:v>
      </x:c>
      <x:c r="D8" s="21" t="str">
        <x:v>11:30-14:30</x:v>
      </x:c>
      <x:c r="E8" s="16" t="str">
        <x:v>新疆维吾尔自治区博物馆</x:v>
      </x:c>
      <x:c r="F8" s="16" t="str">
        <x:v>博物馆</x:v>
      </x:c>
      <x:c r="G8" s="24" t="str"/>
      <x:c r="H8" s="24" t="str"/>
      <x:c r="I8" s="16" t="str">
        <x:v>五星出东方、楼兰文物等</x:v>
      </x:c>
      <x:c r="J8" s="16" t="str">
        <x:v>如家NEO酒店</x:v>
      </x:c>
      <x:c r="K8" s="16" t="str">
        <x:v>提前预约</x:v>
      </x:c>
    </x:row>
    <x:row r="9" ht="15" hidden="0" customHeight="1">
      <x:c r="A9" s="19" t="str">
        <x:v>Plan A</x:v>
      </x:c>
      <x:c r="B9" s="16" t="str">
        <x:v>Day 1</x:v>
      </x:c>
      <x:c r="C9" s="16" t="str">
        <x:v>7月11日</x:v>
      </x:c>
      <x:c r="D9" s="21" t="str">
        <x:v>14:30-16:30</x:v>
      </x:c>
      <x:c r="E9" s="16" t="str">
        <x:v>友好商圈午餐、回酒店休息</x:v>
      </x:c>
      <x:c r="F9" s="16" t="str">
        <x:v>博物馆 → 酒店</x:v>
      </x:c>
      <x:c r="G9" s="24" t="str">
        <x:v>6-8</x:v>
      </x:c>
      <x:c r="H9" s="24" t="str">
        <x:v>20-30分钟</x:v>
      </x:c>
      <x:c r="I9" s="16" t="str">
        <x:v>午餐、补觉</x:v>
      </x:c>
      <x:c r="J9" s="16" t="str">
        <x:v>如家NEO酒店</x:v>
      </x:c>
      <x:c r="K9" s="16" t="str"/>
    </x:row>
    <x:row r="10" ht="15" hidden="0" customHeight="1">
      <x:c r="A10" s="19" t="str">
        <x:v>Plan A</x:v>
      </x:c>
      <x:c r="B10" s="16" t="str">
        <x:v>Day 1</x:v>
      </x:c>
      <x:c r="C10" s="16" t="str">
        <x:v>7月11日</x:v>
      </x:c>
      <x:c r="D10" s="21" t="str">
        <x:v>18:00-21:30</x:v>
      </x:c>
      <x:c r="E10" s="16" t="str">
        <x:v>国际大巴扎、和田二街晚餐</x:v>
      </x:c>
      <x:c r="F10" s="16" t="str">
        <x:v>酒店 → 大巴扎/和田二街</x:v>
      </x:c>
      <x:c r="G10" s="24" t="str">
        <x:v>3-5</x:v>
      </x:c>
      <x:c r="H10" s="24" t="str">
        <x:v>15-25分钟</x:v>
      </x:c>
      <x:c r="I10" s="16" t="str">
        <x:v>城市夜景、美食、采购路餐</x:v>
      </x:c>
      <x:c r="J10" s="16" t="str">
        <x:v>如家NEO酒店</x:v>
      </x:c>
      <x:c r="K10" s="16" t="str">
        <x:v>睡前确认租车订单</x:v>
      </x:c>
    </x:row>
    <x:row r="11" ht="15" hidden="0" customHeight="1">
      <x:c r="A11" s="19" t="str">
        <x:v>Plan A</x:v>
      </x:c>
      <x:c r="B11" s="16" t="str">
        <x:v>Day 2</x:v>
      </x:c>
      <x:c r="C11" s="16" t="str">
        <x:v>7月12日</x:v>
      </x:c>
      <x:c r="D11" s="21" t="str">
        <x:v>07:00-08:30</x:v>
      </x:c>
      <x:c r="E11" s="16" t="str">
        <x:v>取车、验车、加油</x:v>
      </x:c>
      <x:c r="F11" s="16" t="str">
        <x:v>酒店 → 神州租车国际大巴扎门店</x:v>
      </x:c>
      <x:c r="G11" s="24" t="str">
        <x:v>3-6</x:v>
      </x:c>
      <x:c r="H11" s="24" t="str">
        <x:v>15-25分钟</x:v>
      </x:c>
      <x:c r="I11" s="16" t="str">
        <x:v>拍车况视频，检查轮胎和保险</x:v>
      </x:c>
      <x:c r="J11" s="16" t="str">
        <x:v>奎屯市</x:v>
      </x:c>
      <x:c r="K11" s="16" t="str">
        <x:v>以门店实际营业时间为准</x:v>
      </x:c>
    </x:row>
    <x:row r="12" ht="15" hidden="0" customHeight="1">
      <x:c r="A12" s="19" t="str">
        <x:v>Plan A</x:v>
      </x:c>
      <x:c r="B12" s="16" t="str">
        <x:v>Day 2</x:v>
      </x:c>
      <x:c r="C12" s="16" t="str">
        <x:v>7月12日</x:v>
      </x:c>
      <x:c r="D12" s="21" t="str">
        <x:v>08:00-10:30</x:v>
      </x:c>
      <x:c r="E12" s="16" t="str">
        <x:v>前往百里丹霞</x:v>
      </x:c>
      <x:c r="F12" s="16" t="str">
        <x:v>租车门店 → S101百里丹霞东段</x:v>
      </x:c>
      <x:c r="G12" s="24" t="str">
        <x:v>100-120</x:v>
      </x:c>
      <x:c r="H12" s="24" t="str">
        <x:v>2-2.5小时</x:v>
      </x:c>
      <x:c r="I12" s="16" t="str">
        <x:v>连霍高速转X146/S101</x:v>
      </x:c>
      <x:c r="J12" s="16" t="str">
        <x:v>奎屯市</x:v>
      </x:c>
      <x:c r="K12" s="16" t="str"/>
    </x:row>
    <x:row r="13" ht="15" hidden="0" customHeight="1">
      <x:c r="A13" s="19" t="str">
        <x:v>Plan A</x:v>
      </x:c>
      <x:c r="B13" s="16" t="str">
        <x:v>Day 2</x:v>
      </x:c>
      <x:c r="C13" s="16" t="str">
        <x:v>7月12日</x:v>
      </x:c>
      <x:c r="D13" s="21" t="str">
        <x:v>10:30-13:30</x:v>
      </x:c>
      <x:c r="E13" s="16" t="str">
        <x:v>S101百里丹霞风景道</x:v>
      </x:c>
      <x:c r="F13" s="16" t="str">
        <x:v>东段 → 西段/肯斯瓦特分岔</x:v>
      </x:c>
      <x:c r="G13" s="24" t="str">
        <x:v>80-100</x:v>
      </x:c>
      <x:c r="H13" s="24" t="str">
        <x:v>边走边玩2.5-3.5小时</x:v>
      </x:c>
      <x:c r="I13" s="16" t="str">
        <x:v>丹霞、峡谷、草甸；自带路餐</x:v>
      </x:c>
      <x:c r="J13" s="16" t="str">
        <x:v>奎屯市</x:v>
      </x:c>
      <x:c r="K13" s="16" t="str">
        <x:v>安全停车，不必每点都停</x:v>
      </x:c>
    </x:row>
    <x:row r="14" ht="15" hidden="0" customHeight="1">
      <x:c r="A14" s="19" t="str">
        <x:v>Plan A</x:v>
      </x:c>
      <x:c r="B14" s="16" t="str">
        <x:v>Day 2</x:v>
      </x:c>
      <x:c r="C14" s="16" t="str">
        <x:v>7月12日</x:v>
      </x:c>
      <x:c r="D14" s="21" t="str">
        <x:v>13:00-14:30</x:v>
      </x:c>
      <x:c r="E14" s="16" t="str">
        <x:v>肯斯瓦特水库（可选）</x:v>
      </x:c>
      <x:c r="F14" s="16" t="str">
        <x:v>西段 → 肯斯瓦特</x:v>
      </x:c>
      <x:c r="G14" s="24" t="str">
        <x:v>20-35</x:v>
      </x:c>
      <x:c r="H14" s="24" t="str">
        <x:v>40-60分钟</x:v>
      </x:c>
      <x:c r="I14" s="16" t="str">
        <x:v>13:30后原则上放弃</x:v>
      </x:c>
      <x:c r="J14" s="16" t="str">
        <x:v>奎屯市</x:v>
      </x:c>
      <x:c r="K14" s="16" t="str">
        <x:v>最晚14:30离开</x:v>
      </x:c>
    </x:row>
    <x:row r="15" ht="15" hidden="0" customHeight="1">
      <x:c r="A15" s="19" t="str">
        <x:v>Plan A</x:v>
      </x:c>
      <x:c r="B15" s="16" t="str">
        <x:v>Day 2</x:v>
      </x:c>
      <x:c r="C15" s="16" t="str">
        <x:v>7月12日</x:v>
      </x:c>
      <x:c r="D15" s="21" t="str">
        <x:v>14:30-18:30</x:v>
      </x:c>
      <x:c r="E15" s="16" t="str">
        <x:v>前往安集海大峡谷</x:v>
      </x:c>
      <x:c r="F15" s="16" t="str">
        <x:v>肯斯瓦特/西段 → 安集海</x:v>
      </x:c>
      <x:c r="G15" s="24" t="str">
        <x:v>190-230</x:v>
      </x:c>
      <x:c r="H15" s="24" t="str">
        <x:v>3-4小时</x:v>
      </x:c>
      <x:c r="I15" s="16" t="str">
        <x:v>经S223/G30等，以导航为准</x:v>
      </x:c>
      <x:c r="J15" s="16" t="str">
        <x:v>奎屯市</x:v>
      </x:c>
      <x:c r="K15" s="16" t="str">
        <x:v>仅官方开放时进入</x:v>
      </x:c>
    </x:row>
    <x:row r="16" ht="15" hidden="0" customHeight="1">
      <x:c r="A16" s="19" t="str">
        <x:v>Plan A</x:v>
      </x:c>
      <x:c r="B16" s="16" t="str">
        <x:v>Day 2</x:v>
      </x:c>
      <x:c r="C16" s="16" t="str">
        <x:v>7月12日</x:v>
      </x:c>
      <x:c r="D16" s="21" t="str">
        <x:v>18:30-21:00</x:v>
      </x:c>
      <x:c r="E16" s="16" t="str">
        <x:v>安集海游览、前往奎屯</x:v>
      </x:c>
      <x:c r="F16" s="16" t="str">
        <x:v>安集海 → 奎屯</x:v>
      </x:c>
      <x:c r="G16" s="24" t="str">
        <x:v>65-85</x:v>
      </x:c>
      <x:c r="H16" s="24" t="str">
        <x:v>1-1.5小时</x:v>
      </x:c>
      <x:c r="I16" s="16" t="str">
        <x:v>峡谷停留45-60分钟</x:v>
      </x:c>
      <x:c r="J16" s="16" t="str">
        <x:v>奎屯市</x:v>
      </x:c>
      <x:c r="K16" s="16" t="str">
        <x:v>17:30仍未到附近则直接去奎屯</x:v>
      </x:c>
    </x:row>
    <x:row r="17" ht="15" hidden="0" customHeight="1">
      <x:c r="A17" s="19" t="str">
        <x:v>Plan A</x:v>
      </x:c>
      <x:c r="B17" s="16" t="str">
        <x:v>Day 3</x:v>
      </x:c>
      <x:c r="C17" s="16" t="str">
        <x:v>7月13日</x:v>
      </x:c>
      <x:c r="D17" s="21" t="str">
        <x:v>06:30-07:30</x:v>
      </x:c>
      <x:c r="E17" s="16" t="str">
        <x:v>奎屯出发进入独库</x:v>
      </x:c>
      <x:c r="F17" s="16" t="str">
        <x:v>奎屯 → 独库起点</x:v>
      </x:c>
      <x:c r="G17" s="24" t="str">
        <x:v>20-30</x:v>
      </x:c>
      <x:c r="H17" s="24" t="str">
        <x:v>30-40分钟</x:v>
      </x:c>
      <x:c r="I17" s="16" t="str">
        <x:v>按最早预约时段进入</x:v>
      </x:c>
      <x:c r="J17" s="16" t="str">
        <x:v>新源县城</x:v>
      </x:c>
      <x:c r="K17" s="16" t="str">
        <x:v>独库预约截图留存</x:v>
      </x:c>
    </x:row>
    <x:row r="18" ht="15" hidden="0" customHeight="1">
      <x:c r="A18" s="19" t="str">
        <x:v>Plan A</x:v>
      </x:c>
      <x:c r="B18" s="16" t="str">
        <x:v>Day 3</x:v>
      </x:c>
      <x:c r="C18" s="16" t="str">
        <x:v>7月13日</x:v>
      </x:c>
      <x:c r="D18" s="21" t="str">
        <x:v>08:00-12:30</x:v>
      </x:c>
      <x:c r="E18" s="16" t="str">
        <x:v>独库公路北段</x:v>
      </x:c>
      <x:c r="F18" s="16" t="str">
        <x:v>独库起点 → 乔尔玛</x:v>
      </x:c>
      <x:c r="G18" s="24" t="str">
        <x:v>135-145</x:v>
      </x:c>
      <x:c r="H18" s="24" t="str">
        <x:v>3.5-4.5小时</x:v>
      </x:c>
      <x:c r="I18" s="16" t="str">
        <x:v>防雪长廊、达坂、老虎口等</x:v>
      </x:c>
      <x:c r="J18" s="16" t="str">
        <x:v>新源县城</x:v>
      </x:c>
      <x:c r="K18" s="16" t="str">
        <x:v>只在正规停车区停靠</x:v>
      </x:c>
    </x:row>
    <x:row r="19" ht="15" hidden="0" customHeight="1">
      <x:c r="A19" s="19" t="str">
        <x:v>Plan A</x:v>
      </x:c>
      <x:c r="B19" s="16" t="str">
        <x:v>Day 3</x:v>
      </x:c>
      <x:c r="C19" s="16" t="str">
        <x:v>7月13日</x:v>
      </x:c>
      <x:c r="D19" s="21" t="str">
        <x:v>12:30-14:30</x:v>
      </x:c>
      <x:c r="E19" s="16" t="str">
        <x:v>乔尔玛、唐布拉百里画廊</x:v>
      </x:c>
      <x:c r="F19" s="16" t="str">
        <x:v>乔尔玛 → 唐布拉核心段</x:v>
      </x:c>
      <x:c r="G19" s="24" t="str">
        <x:v>40-60</x:v>
      </x:c>
      <x:c r="H19" s="24" t="str">
        <x:v>边走边停1.5-2小时</x:v>
      </x:c>
      <x:c r="I19" s="16" t="str">
        <x:v>烈士陵园、喀什河谷草原</x:v>
      </x:c>
      <x:c r="J19" s="16" t="str">
        <x:v>新源县城</x:v>
      </x:c>
      <x:c r="K19" s="16" t="str">
        <x:v>简餐，把主要时间留给孟克特</x:v>
      </x:c>
    </x:row>
    <x:row r="20" ht="15" hidden="0" customHeight="1">
      <x:c r="A20" s="19" t="str">
        <x:v>Plan A</x:v>
      </x:c>
      <x:c r="B20" s="16" t="str">
        <x:v>Day 3</x:v>
      </x:c>
      <x:c r="C20" s="16" t="str">
        <x:v>7月13日</x:v>
      </x:c>
      <x:c r="D20" s="21" t="str">
        <x:v>14:30-17:00</x:v>
      </x:c>
      <x:c r="E20" s="16" t="str">
        <x:v>前往并游览孟克特</x:v>
      </x:c>
      <x:c r="F20" s="16" t="str">
        <x:v>唐布拉核心段 → 孟克特</x:v>
      </x:c>
      <x:c r="G20" s="24" t="str">
        <x:v>50-80</x:v>
      </x:c>
      <x:c r="H20" s="24" t="str">
        <x:v>1.5-2小时+游览</x:v>
      </x:c>
      <x:c r="I20" s="16" t="str">
        <x:v>景区建议3-4小时，按现场取舍</x:v>
      </x:c>
      <x:c r="J20" s="16" t="str">
        <x:v>新源县城</x:v>
      </x:c>
      <x:c r="K20" s="16" t="str">
        <x:v>17:00仍未离开应考虑就近住宿</x:v>
      </x:c>
    </x:row>
    <x:row r="21" ht="15" hidden="0" customHeight="1">
      <x:c r="A21" s="19" t="str">
        <x:v>Plan A</x:v>
      </x:c>
      <x:c r="B21" s="16" t="str">
        <x:v>Day 3</x:v>
      </x:c>
      <x:c r="C21" s="16" t="str">
        <x:v>7月13日</x:v>
      </x:c>
      <x:c r="D21" s="21" t="str">
        <x:v>17:00-22:00+</x:v>
      </x:c>
      <x:c r="E21" s="16" t="str">
        <x:v>前往新源县</x:v>
      </x:c>
      <x:c r="F21" s="16" t="str">
        <x:v>孟克特 → 新源</x:v>
      </x:c>
      <x:c r="G21" s="24" t="str">
        <x:v>160-200</x:v>
      </x:c>
      <x:c r="H21" s="24" t="str">
        <x:v>3.5-4.5小时</x:v>
      </x:c>
      <x:c r="I21" s="16" t="str">
        <x:v>减少停车，安全优先</x:v>
      </x:c>
      <x:c r="J21" s="16" t="str">
        <x:v>新源县城</x:v>
      </x:c>
      <x:c r="K21" s="16" t="str">
        <x:v>当日强度最高，避免疲劳驾驶</x:v>
      </x:c>
    </x:row>
    <x:row r="22" ht="15" hidden="0" customHeight="1">
      <x:c r="A22" s="19" t="str">
        <x:v>Plan A</x:v>
      </x:c>
      <x:c r="B22" s="16" t="str">
        <x:v>Day 4</x:v>
      </x:c>
      <x:c r="C22" s="16" t="str">
        <x:v>7月14日</x:v>
      </x:c>
      <x:c r="D22" s="21" t="str">
        <x:v>08:30-12:30</x:v>
      </x:c>
      <x:c r="E22" s="16" t="str">
        <x:v>新源前往库尔德宁</x:v>
      </x:c>
      <x:c r="F22" s="16" t="str">
        <x:v>新源 → 巩留 → 库尔德宁</x:v>
      </x:c>
      <x:c r="G22" s="24" t="str">
        <x:v>150-180</x:v>
      </x:c>
      <x:c r="H22" s="24" t="str">
        <x:v>3-4小时</x:v>
      </x:c>
      <x:c r="I22" s="16" t="str">
        <x:v>新源加油、采购路餐</x:v>
      </x:c>
      <x:c r="J22" s="16" t="str">
        <x:v>库尔德宁镇/景区入口</x:v>
      </x:c>
      <x:c r="K22" s="16" t="str"/>
    </x:row>
    <x:row r="23" ht="15" hidden="0" customHeight="1">
      <x:c r="A23" s="19" t="str">
        <x:v>Plan A</x:v>
      </x:c>
      <x:c r="B23" s="16" t="str">
        <x:v>Day 4</x:v>
      </x:c>
      <x:c r="C23" s="16" t="str">
        <x:v>7月14日</x:v>
      </x:c>
      <x:c r="D23" s="21" t="str">
        <x:v>13:00-18:00</x:v>
      </x:c>
      <x:c r="E23" s="16" t="str">
        <x:v>库尔德宁景区</x:v>
      </x:c>
      <x:c r="F23" s="16" t="str">
        <x:v>住宿地 → 景区入口</x:v>
      </x:c>
      <x:c r="G23" s="24" t="str">
        <x:v>5-20</x:v>
      </x:c>
      <x:c r="H23" s="24" t="str">
        <x:v>10-30分钟</x:v>
      </x:c>
      <x:c r="I23" s="16" t="str">
        <x:v>雪岭云杉、山谷草甸、河谷森林</x:v>
      </x:c>
      <x:c r="J23" s="16" t="str">
        <x:v>库尔德宁镇/景区入口</x:v>
      </x:c>
      <x:c r="K23" s="16" t="str">
        <x:v>确认车辆通行和最晚入园</x:v>
      </x:c>
    </x:row>
    <x:row r="24" ht="15" hidden="0" customHeight="1">
      <x:c r="A24" s="19" t="str">
        <x:v>Plan A</x:v>
      </x:c>
      <x:c r="B24" s="16" t="str">
        <x:v>Day 5</x:v>
      </x:c>
      <x:c r="C24" s="16" t="str">
        <x:v>7月15日</x:v>
      </x:c>
      <x:c r="D24" s="21" t="str">
        <x:v>07:30-12:30</x:v>
      </x:c>
      <x:c r="E24" s="16" t="str">
        <x:v>库尔德宁前往喀拉峻</x:v>
      </x:c>
      <x:c r="F24" s="16" t="str">
        <x:v>库尔德宁 → 巩留 → 喀拉峻</x:v>
      </x:c>
      <x:c r="G24" s="24" t="str">
        <x:v>175-220</x:v>
      </x:c>
      <x:c r="H24" s="24" t="str">
        <x:v>3.5-4.5小时</x:v>
      </x:c>
      <x:c r="I24" s="16" t="str">
        <x:v>路餐或景区附近简餐</x:v>
      </x:c>
      <x:c r="J24" s="16" t="str">
        <x:v>特克斯县城</x:v>
      </x:c>
      <x:c r="K24" s="16" t="str"/>
    </x:row>
    <x:row r="25" ht="15" hidden="0" customHeight="1">
      <x:c r="A25" s="19" t="str">
        <x:v>Plan A</x:v>
      </x:c>
      <x:c r="B25" s="16" t="str">
        <x:v>Day 5</x:v>
      </x:c>
      <x:c r="C25" s="16" t="str">
        <x:v>7月15日</x:v>
      </x:c>
      <x:c r="D25" s="21" t="str">
        <x:v>12:30-18:00</x:v>
      </x:c>
      <x:c r="E25" s="16" t="str">
        <x:v>东西喀拉峻草原线</x:v>
      </x:c>
      <x:c r="F25" s="16" t="str">
        <x:v>喀拉峻景区</x:v>
      </x:c>
      <x:c r="G25" s="24" t="str"/>
      <x:c r="H25" s="24" t="str"/>
      <x:c r="I25" s="16" t="str">
        <x:v>鲜花台、猎鹰台等</x:v>
      </x:c>
      <x:c r="J25" s="16" t="str">
        <x:v>特克斯县城</x:v>
      </x:c>
      <x:c r="K25" s="16" t="str">
        <x:v>不同时安排阔克苏全线</x:v>
      </x:c>
    </x:row>
    <x:row r="26" ht="15" hidden="0" customHeight="1">
      <x:c r="A26" s="19" t="str">
        <x:v>Plan A</x:v>
      </x:c>
      <x:c r="B26" s="16" t="str">
        <x:v>Day 5</x:v>
      </x:c>
      <x:c r="C26" s="16" t="str">
        <x:v>7月15日</x:v>
      </x:c>
      <x:c r="D26" s="21" t="str">
        <x:v>18:00-20:00</x:v>
      </x:c>
      <x:c r="E26" s="16" t="str">
        <x:v>前往特克斯、晚餐</x:v>
      </x:c>
      <x:c r="F26" s="16" t="str">
        <x:v>喀拉峻 → 特克斯</x:v>
      </x:c>
      <x:c r="G26" s="24" t="str">
        <x:v>30-40</x:v>
      </x:c>
      <x:c r="H26" s="24" t="str">
        <x:v>45-60分钟</x:v>
      </x:c>
      <x:c r="I26" s="16" t="str">
        <x:v>入住后轻松散步</x:v>
      </x:c>
      <x:c r="J26" s="16" t="str">
        <x:v>特克斯县城</x:v>
      </x:c>
      <x:c r="K26" s="16" t="str"/>
    </x:row>
    <x:row r="27" ht="15" hidden="0" customHeight="1">
      <x:c r="A27" s="19" t="str">
        <x:v>Plan A</x:v>
      </x:c>
      <x:c r="B27" s="16" t="str">
        <x:v>Day 6</x:v>
      </x:c>
      <x:c r="C27" s="16" t="str">
        <x:v>7月16日</x:v>
      </x:c>
      <x:c r="D27" s="21" t="str">
        <x:v>07:30-11:30</x:v>
      </x:c>
      <x:c r="E27" s="16" t="str">
        <x:v>特克斯直接前往夏塔</x:v>
      </x:c>
      <x:c r="F27" s="16" t="str">
        <x:v>特克斯 → 昭苏 → 夏塔</x:v>
      </x:c>
      <x:c r="G27" s="24" t="str">
        <x:v>185-205</x:v>
      </x:c>
      <x:c r="H27" s="24" t="str">
        <x:v>3-4小时</x:v>
      </x:c>
      <x:c r="I27" s="16" t="str">
        <x:v>使用自带路餐，午前入园</x:v>
      </x:c>
      <x:c r="J27" s="16" t="str">
        <x:v>昭苏县城</x:v>
      </x:c>
      <x:c r="K27" s="16" t="str">
        <x:v>提前购买夏塔门票</x:v>
      </x:c>
    </x:row>
    <x:row r="28" ht="15" hidden="0" customHeight="1">
      <x:c r="A28" s="19" t="str">
        <x:v>Plan A</x:v>
      </x:c>
      <x:c r="B28" s="16" t="str">
        <x:v>Day 6</x:v>
      </x:c>
      <x:c r="C28" s="16" t="str">
        <x:v>7月16日</x:v>
      </x:c>
      <x:c r="D28" s="21" t="str">
        <x:v>11:30-18:00</x:v>
      </x:c>
      <x:c r="E28" s="16" t="str">
        <x:v>夏塔旅游景区</x:v>
      </x:c>
      <x:c r="F28" s="16" t="str">
        <x:v>景区内部</x:v>
      </x:c>
      <x:c r="G28" s="24" t="str"/>
      <x:c r="H28" s="24" t="str"/>
      <x:c r="I28" s="16" t="str">
        <x:v>区间车、将军桥、鲜花台、冰川观景方向</x:v>
      </x:c>
      <x:c r="J28" s="16" t="str">
        <x:v>昭苏县城</x:v>
      </x:c>
      <x:c r="K28" s="16" t="str">
        <x:v>按末班车时间折返</x:v>
      </x:c>
    </x:row>
    <x:row r="29" ht="15" hidden="0" customHeight="1">
      <x:c r="A29" s="19" t="str">
        <x:v>Plan A</x:v>
      </x:c>
      <x:c r="B29" s="16" t="str">
        <x:v>Day 6</x:v>
      </x:c>
      <x:c r="C29" s="16" t="str">
        <x:v>7月16日</x:v>
      </x:c>
      <x:c r="D29" s="21" t="str">
        <x:v>18:00-21:00</x:v>
      </x:c>
      <x:c r="E29" s="16" t="str">
        <x:v>返回昭苏</x:v>
      </x:c>
      <x:c r="F29" s="16" t="str">
        <x:v>夏塔 → 昭苏</x:v>
      </x:c>
      <x:c r="G29" s="24" t="str">
        <x:v>70-80</x:v>
      </x:c>
      <x:c r="H29" s="24" t="str">
        <x:v>1-1.5小时</x:v>
      </x:c>
      <x:c r="I29" s="16" t="str">
        <x:v>入住、晚餐</x:v>
      </x:c>
      <x:c r="J29" s="16" t="str">
        <x:v>昭苏县城</x:v>
      </x:c>
      <x:c r="K29" s="16" t="str">
        <x:v>携带边防证或确认最新政策</x:v>
      </x:c>
    </x:row>
    <x:row r="30" ht="15" hidden="0" customHeight="1">
      <x:c r="A30" s="19" t="str">
        <x:v>Plan A</x:v>
      </x:c>
      <x:c r="B30" s="16" t="str">
        <x:v>Day 7</x:v>
      </x:c>
      <x:c r="C30" s="16" t="str">
        <x:v>7月17日</x:v>
      </x:c>
      <x:c r="D30" s="21" t="str">
        <x:v>09:00-14:30</x:v>
      </x:c>
      <x:c r="E30" s="16" t="str">
        <x:v>伊昭公路</x:v>
      </x:c>
      <x:c r="F30" s="16" t="str">
        <x:v>昭苏 → 达坂 → 伊宁</x:v>
      </x:c>
      <x:c r="G30" s="24" t="str">
        <x:v>150-180</x:v>
      </x:c>
      <x:c r="H30" s="24" t="str">
        <x:v>3.5-4.5小时</x:v>
      </x:c>
      <x:c r="I30" s="16" t="str">
        <x:v>高山花海、悬崖公路、达坂</x:v>
      </x:c>
      <x:c r="J30" s="16" t="str">
        <x:v>伊宁市</x:v>
      </x:c>
      <x:c r="K30" s="16" t="str">
        <x:v>出发前昭苏加满油</x:v>
      </x:c>
    </x:row>
    <x:row r="31" ht="15" hidden="0" customHeight="1">
      <x:c r="A31" s="19" t="str">
        <x:v>Plan A</x:v>
      </x:c>
      <x:c r="B31" s="16" t="str">
        <x:v>Day 7</x:v>
      </x:c>
      <x:c r="C31" s="16" t="str">
        <x:v>7月17日</x:v>
      </x:c>
      <x:c r="D31" s="21" t="str">
        <x:v>15:30-18:00</x:v>
      </x:c>
      <x:c r="E31" s="16" t="str">
        <x:v>喀赞其民俗村</x:v>
      </x:c>
      <x:c r="F31" s="16" t="str">
        <x:v>伊宁酒店 → 喀赞其</x:v>
      </x:c>
      <x:c r="G31" s="24" t="str">
        <x:v>3-8</x:v>
      </x:c>
      <x:c r="H31" s="24" t="str">
        <x:v>15-25分钟</x:v>
      </x:c>
      <x:c r="I31" s="16" t="str">
        <x:v>蓝色街巷、民俗体验</x:v>
      </x:c>
      <x:c r="J31" s="16" t="str">
        <x:v>伊宁市</x:v>
      </x:c>
      <x:c r="K31" s="16" t="str"/>
    </x:row>
    <x:row r="32" ht="15" hidden="0" customHeight="1">
      <x:c r="A32" s="19" t="str">
        <x:v>Plan A</x:v>
      </x:c>
      <x:c r="B32" s="16" t="str">
        <x:v>Day 7</x:v>
      </x:c>
      <x:c r="C32" s="16" t="str">
        <x:v>7月17日</x:v>
      </x:c>
      <x:c r="D32" s="21" t="str">
        <x:v>18:00-21:30</x:v>
      </x:c>
      <x:c r="E32" s="16" t="str">
        <x:v>六星街、晚餐</x:v>
      </x:c>
      <x:c r="F32" s="16" t="str">
        <x:v>喀赞其 → 六星街</x:v>
      </x:c>
      <x:c r="G32" s="24" t="str">
        <x:v>5-7</x:v>
      </x:c>
      <x:c r="H32" s="24" t="str">
        <x:v>15-25分钟</x:v>
      </x:c>
      <x:c r="I32" s="16" t="str">
        <x:v>冰淇淋、手抓饭、城市夜生活</x:v>
      </x:c>
      <x:c r="J32" s="16" t="str">
        <x:v>伊宁市</x:v>
      </x:c>
      <x:c r="K32" s="16" t="str"/>
    </x:row>
    <x:row r="33" ht="15" hidden="0" customHeight="1">
      <x:c r="A33" s="19" t="str">
        <x:v>Plan A</x:v>
      </x:c>
      <x:c r="B33" s="16" t="str">
        <x:v>Day 8</x:v>
      </x:c>
      <x:c r="C33" s="16" t="str">
        <x:v>7月18日</x:v>
      </x:c>
      <x:c r="D33" s="21" t="str">
        <x:v>07:30-10:30</x:v>
      </x:c>
      <x:c r="E33" s="16" t="str">
        <x:v>伊宁经果子沟前往赛里木湖</x:v>
      </x:c>
      <x:c r="F33" s="16" t="str">
        <x:v>伊宁 → 果子沟 → 赛湖入口</x:v>
      </x:c>
      <x:c r="G33" s="24" t="str">
        <x:v>135-160</x:v>
      </x:c>
      <x:c r="H33" s="24" t="str">
        <x:v>2-2.75小时</x:v>
      </x:c>
      <x:c r="I33" s="16" t="str">
        <x:v>离开伊宁前加满油</x:v>
      </x:c>
      <x:c r="J33" s="16" t="str">
        <x:v>精河县城</x:v>
      </x:c>
      <x:c r="K33" s="16" t="str"/>
    </x:row>
    <x:row r="34" ht="15" hidden="0" customHeight="1">
      <x:c r="A34" s="19" t="str">
        <x:v>Plan A</x:v>
      </x:c>
      <x:c r="B34" s="16" t="str">
        <x:v>Day 8</x:v>
      </x:c>
      <x:c r="C34" s="16" t="str">
        <x:v>7月18日</x:v>
      </x:c>
      <x:c r="D34" s="21" t="str">
        <x:v>10:30-17:30</x:v>
      </x:c>
      <x:c r="E34" s="16" t="str">
        <x:v>赛里木湖环湖</x:v>
      </x:c>
      <x:c r="F34" s="16" t="str">
        <x:v>赛里木湖环湖公路</x:v>
      </x:c>
      <x:c r="G34" s="24" t="str">
        <x:v>约90</x:v>
      </x:c>
      <x:c r="H34" s="24" t="str">
        <x:v>纯驾驶约2小时</x:v>
      </x:c>
      <x:c r="I34" s="16" t="str">
        <x:v>松树头、克勒涌珠、亲水滩、月亮湾</x:v>
      </x:c>
      <x:c r="J34" s="16" t="str">
        <x:v>精河县城</x:v>
      </x:c>
      <x:c r="K34" s="16" t="str">
        <x:v>含停留5-7小时，不等日落</x:v>
      </x:c>
    </x:row>
    <x:row r="35" ht="15" hidden="0" customHeight="1">
      <x:c r="A35" s="19" t="str">
        <x:v>Plan A</x:v>
      </x:c>
      <x:c r="B35" s="16" t="str">
        <x:v>Day 8</x:v>
      </x:c>
      <x:c r="C35" s="16" t="str">
        <x:v>7月18日</x:v>
      </x:c>
      <x:c r="D35" s="21" t="str">
        <x:v>17:30-21:00</x:v>
      </x:c>
      <x:c r="E35" s="16" t="str">
        <x:v>前往精河</x:v>
      </x:c>
      <x:c r="F35" s="16" t="str">
        <x:v>赛湖东侧出口 → 精河</x:v>
      </x:c>
      <x:c r="G35" s="24" t="str">
        <x:v>140-160</x:v>
      </x:c>
      <x:c r="H35" s="24" t="str">
        <x:v>2-2.5小时</x:v>
      </x:c>
      <x:c r="I35" s="16" t="str">
        <x:v>高速行驶，抵达后晚餐</x:v>
      </x:c>
      <x:c r="J35" s="16" t="str">
        <x:v>精河县城</x:v>
      </x:c>
      <x:c r="K35" s="16" t="str">
        <x:v>最晚18:00离开景区</x:v>
      </x:c>
    </x:row>
    <x:row r="36" ht="15" hidden="0" customHeight="1">
      <x:c r="A36" s="19" t="str">
        <x:v>Plan A</x:v>
      </x:c>
      <x:c r="B36" s="16" t="str">
        <x:v>Day 9</x:v>
      </x:c>
      <x:c r="C36" s="16" t="str">
        <x:v>7月19日</x:v>
      </x:c>
      <x:c r="D36" s="21" t="str">
        <x:v>06:30-12:30</x:v>
      </x:c>
      <x:c r="E36" s="16" t="str">
        <x:v>精河返回乌鲁木齐</x:v>
      </x:c>
      <x:c r="F36" s="16" t="str">
        <x:v>精河 → 乌鲁木齐</x:v>
      </x:c>
      <x:c r="G36" s="24" t="str">
        <x:v>410-440</x:v>
      </x:c>
      <x:c r="H36" s="24" t="str">
        <x:v>4.5-5.5小时</x:v>
      </x:c>
      <x:c r="I36" s="16" t="str">
        <x:v>连霍高速</x:v>
      </x:c>
      <x:c r="J36" s="16" t="str">
        <x:v>当日返程</x:v>
      </x:c>
      <x:c r="K36" s="16" t="str">
        <x:v>最晚07:00出发</x:v>
      </x:c>
    </x:row>
    <x:row r="37" ht="15" hidden="0" customHeight="1">
      <x:c r="A37" s="19" t="str">
        <x:v>Plan A</x:v>
      </x:c>
      <x:c r="B37" s="16" t="str">
        <x:v>Day 9</x:v>
      </x:c>
      <x:c r="C37" s="16" t="str">
        <x:v>7月19日</x:v>
      </x:c>
      <x:c r="D37" s="21" t="str">
        <x:v>12:30-14:30</x:v>
      </x:c>
      <x:c r="E37" s="16" t="str">
        <x:v>加油、还车、前往机场</x:v>
      </x:c>
      <x:c r="F37" s="16" t="str">
        <x:v>市区 → 还车门店 → 机场</x:v>
      </x:c>
      <x:c r="G37" s="24" t="str">
        <x:v>25-45</x:v>
      </x:c>
      <x:c r="H37" s="24" t="str">
        <x:v>1-1.5小时</x:v>
      </x:c>
      <x:c r="I37" s="16" t="str">
        <x:v>13:30前完成还车</x:v>
      </x:c>
      <x:c r="J37" s="16" t="str">
        <x:v>当日返程</x:v>
      </x:c>
      <x:c r="K37" s="16" t="str">
        <x:v>不安排购物和景点</x:v>
      </x:c>
    </x:row>
    <x:row r="38" ht="15" hidden="0" customHeight="1">
      <x:c r="A38" s="19" t="str">
        <x:v>Plan A</x:v>
      </x:c>
      <x:c r="B38" s="16" t="str">
        <x:v>Day 9</x:v>
      </x:c>
      <x:c r="C38" s="16" t="str">
        <x:v>7月19日</x:v>
      </x:c>
      <x:c r="D38" s="21" t="str">
        <x:v>17:00</x:v>
      </x:c>
      <x:c r="E38" s="16" t="str">
        <x:v>航班起飞</x:v>
      </x:c>
      <x:c r="F38" s="16" t="str">
        <x:v>乌鲁木齐天山国际机场</x:v>
      </x:c>
      <x:c r="G38" s="24" t="str"/>
      <x:c r="H38" s="24" t="str"/>
      <x:c r="I38" s="16" t="str">
        <x:v>返程</x:v>
      </x:c>
      <x:c r="J38" s="16" t="str">
        <x:v>当日返程</x:v>
      </x:c>
      <x:c r="K38" s="16" t="str">
        <x:v>14:30前到机场</x:v>
      </x:c>
    </x:row>
  </x:sheetData>
  <x:mergeCells>
    <x:mergeCell ref="A1:K1"/>
    <x:mergeCell ref="A2:K2"/>
  </x:mergeCells>
  <x:pageMargins left="0.7" right="0.7" top="0.75" bottom="0.75" header="0.3" footer="0.3"/>
  <x:legacyDrawing xmlns:r="http://schemas.openxmlformats.org/officeDocument/2006/relationships" r:id="R93c69524f8604834"/>
  <x:tableParts count="1">
    <x:tablePart xmlns:r="http://schemas.openxmlformats.org/officeDocument/2006/relationships" r:id="Ra3b97a366b2a46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5" hidden="0" customWidth="1"/>
    <x:col min="5" max="5" width="27" hidden="0" customWidth="1"/>
    <x:col min="6" max="6" width="34" hidden="0" customWidth="1"/>
    <x:col min="7" max="7" width="12" hidden="0" customWidth="1"/>
    <x:col min="8" max="8" width="20" hidden="0" customWidth="1"/>
    <x:col min="9" max="9" width="36" hidden="0" customWidth="1"/>
    <x:col min="10" max="10" width="22" hidden="0" customWidth="1"/>
    <x:col min="11" max="11" width="38" hidden="0" customWidth="1"/>
  </x:cols>
  <x:sheetData>
    <x:row r="1" ht="34" customHeight="1">
      <x:c r="A1" s="4" t="str">
        <x:v>Plan B / Plan C 分支模板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8" t="str">
        <x:v>复制或填写对应行即可形成备用路线；字段与主时间表一致，便于后续合并比较。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28" customHeight="1">
      <x:c r="A4" s="13" t="str">
        <x:v>方案</x:v>
      </x:c>
      <x:c r="B4" s="13" t="str">
        <x:v>天数</x:v>
      </x:c>
      <x:c r="C4" s="13" t="str">
        <x:v>日期</x:v>
      </x:c>
      <x:c r="D4" s="13" t="str">
        <x:v>时间</x:v>
      </x:c>
      <x:c r="E4" s="13" t="str">
        <x:v>行程/景点</x:v>
      </x:c>
      <x:c r="F4" s="13" t="str">
        <x:v>路线分段</x:v>
      </x:c>
      <x:c r="G4" s="13" t="str">
        <x:v>里程(km)</x:v>
      </x:c>
      <x:c r="H4" s="13" t="str">
        <x:v>预计时间</x:v>
      </x:c>
      <x:c r="I4" s="13" t="str">
        <x:v>游玩与执行内容</x:v>
      </x:c>
      <x:c r="J4" s="13" t="str">
        <x:v>住宿</x:v>
      </x:c>
      <x:c r="K4" s="13" t="str">
        <x:v>注意事项</x:v>
      </x:c>
    </x:row>
    <x:row r="5" ht="28" customHeight="1">
      <x:c r="A5" s="27" t="str">
        <x:v>Plan B</x:v>
      </x:c>
      <x:c r="B5" s="16" t="str">
        <x:v>Day 2</x:v>
      </x:c>
      <x:c r="C5" s="16" t="str">
        <x:v>7月12日</x:v>
      </x:c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</x:row>
    <x:row r="6" ht="28" customHeight="1">
      <x:c r="A6" s="27" t="str">
        <x:v>Plan B</x:v>
      </x:c>
      <x:c r="B6" s="16" t="str">
        <x:v>Day 3</x:v>
      </x:c>
      <x:c r="C6" s="16" t="str">
        <x:v>7月13日</x:v>
      </x:c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</x:row>
    <x:row r="7" ht="28" customHeight="1">
      <x:c r="A7" s="27" t="str">
        <x:v>Plan B</x:v>
      </x:c>
      <x:c r="B7" s="16" t="str">
        <x:v>Day 4</x:v>
      </x:c>
      <x:c r="C7" s="16" t="str">
        <x:v>7月14日</x:v>
      </x:c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</x:row>
    <x:row r="8" ht="28" customHeight="1">
      <x:c r="A8" s="27" t="str">
        <x:v>Plan B</x:v>
      </x:c>
      <x:c r="B8" s="16" t="str">
        <x:v>Day 5</x:v>
      </x:c>
      <x:c r="C8" s="16" t="str">
        <x:v>7月15日</x:v>
      </x:c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</x:row>
    <x:row r="9" ht="28" customHeight="1">
      <x:c r="A9" s="27" t="str">
        <x:v>Plan B</x:v>
      </x:c>
      <x:c r="B9" s="16" t="str">
        <x:v>Day 6</x:v>
      </x:c>
      <x:c r="C9" s="16" t="str">
        <x:v>7月16日</x:v>
      </x:c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</x:row>
    <x:row r="10" ht="28" customHeight="1">
      <x:c r="A10" s="27" t="str">
        <x:v>Plan B</x:v>
      </x:c>
      <x:c r="B10" s="16" t="str">
        <x:v>Day 7</x:v>
      </x:c>
      <x:c r="C10" s="16" t="str">
        <x:v>7月17日</x:v>
      </x:c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</x:row>
    <x:row r="11" ht="28" customHeight="1">
      <x:c r="A11" s="27" t="str">
        <x:v>Plan B</x:v>
      </x:c>
      <x:c r="B11" s="16" t="str">
        <x:v>Day 8</x:v>
      </x:c>
      <x:c r="C11" s="16" t="str">
        <x:v>7月18日</x:v>
      </x:c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</x:row>
    <x:row r="12" ht="28" customHeight="1">
      <x:c r="A12" s="27" t="str">
        <x:v>Plan B</x:v>
      </x:c>
      <x:c r="B12" s="16" t="str">
        <x:v>Day 9</x:v>
      </x:c>
      <x:c r="C12" s="16" t="str">
        <x:v>7月19日</x:v>
      </x:c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</x:row>
    <x:row r="13" ht="28" customHeight="1">
      <x:c r="A13" s="27" t="str">
        <x:v>Plan C</x:v>
      </x:c>
      <x:c r="B13" s="16" t="str">
        <x:v>Day 2</x:v>
      </x:c>
      <x:c r="C13" s="16" t="str">
        <x:v>7月12日</x:v>
      </x:c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</x:row>
    <x:row r="14" ht="28" customHeight="1">
      <x:c r="A14" s="27" t="str">
        <x:v>Plan C</x:v>
      </x:c>
      <x:c r="B14" s="16" t="str">
        <x:v>Day 3</x:v>
      </x:c>
      <x:c r="C14" s="16" t="str">
        <x:v>7月13日</x:v>
      </x:c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</x:row>
    <x:row r="15" ht="28" customHeight="1">
      <x:c r="A15" s="27" t="str">
        <x:v>Plan C</x:v>
      </x:c>
      <x:c r="B15" s="16" t="str">
        <x:v>Day 4</x:v>
      </x:c>
      <x:c r="C15" s="16" t="str">
        <x:v>7月14日</x:v>
      </x:c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</x:row>
    <x:row r="16" ht="28" customHeight="1">
      <x:c r="A16" s="27" t="str">
        <x:v>Plan C</x:v>
      </x:c>
      <x:c r="B16" s="16" t="str">
        <x:v>Day 5</x:v>
      </x:c>
      <x:c r="C16" s="16" t="str">
        <x:v>7月15日</x:v>
      </x:c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</x:row>
    <x:row r="17" ht="28" customHeight="1">
      <x:c r="A17" s="27" t="str">
        <x:v>Plan C</x:v>
      </x:c>
      <x:c r="B17" s="16" t="str">
        <x:v>Day 6</x:v>
      </x:c>
      <x:c r="C17" s="16" t="str">
        <x:v>7月16日</x:v>
      </x:c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</x:row>
    <x:row r="18" ht="28" customHeight="1">
      <x:c r="A18" s="27" t="str">
        <x:v>Plan C</x:v>
      </x:c>
      <x:c r="B18" s="16" t="str">
        <x:v>Day 7</x:v>
      </x:c>
      <x:c r="C18" s="16" t="str">
        <x:v>7月17日</x:v>
      </x:c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</x:row>
    <x:row r="19" ht="28" customHeight="1">
      <x:c r="A19" s="27" t="str">
        <x:v>Plan C</x:v>
      </x:c>
      <x:c r="B19" s="16" t="str">
        <x:v>Day 8</x:v>
      </x:c>
      <x:c r="C19" s="16" t="str">
        <x:v>7月18日</x:v>
      </x:c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</x:row>
    <x:row r="20" ht="28" customHeight="1">
      <x:c r="A20" s="27" t="str">
        <x:v>Plan C</x:v>
      </x:c>
      <x:c r="B20" s="16" t="str">
        <x:v>Day 9</x:v>
      </x:c>
      <x:c r="C20" s="16" t="str">
        <x:v>7月19日</x:v>
      </x:c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</x:row>
  </x:sheetData>
  <x:mergeCells>
    <x:mergeCell ref="A1:K1"/>
    <x:mergeCell ref="A2:K2"/>
  </x:mergeCells>
  <x:dataValidations count="1">
    <x:dataValidation type="list" sqref="A5:A20">
      <x:formula1>"Plan B,Plan 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ed2f765194f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28" hidden="0" customWidth="1"/>
    <x:col min="5" max="5" width="14" hidden="0" customWidth="1"/>
    <x:col min="6" max="6" width="55" hidden="0" customWidth="1"/>
  </x:cols>
  <x:sheetData>
    <x:row r="1" ht="21.600000381469727" hidden="0" customHeight="1">
      <x:c r="A1" s="4" t="str">
        <x:v>住宿与预约追踪</x:v>
      </x:c>
      <x:c r="B1" s="4"/>
      <x:c r="C1" s="4"/>
      <x:c r="D1" s="4"/>
      <x:c r="E1" s="4"/>
      <x:c r="F1" s="4"/>
    </x:row>
    <x:row r="2" ht="15" hidden="0" customHeight="1">
      <x:c r="A2" s="8" t="str">
        <x:v>“适用方案”为共用时代表 Plan A/B/C 均需；状态列带下拉选项。</x:v>
      </x:c>
      <x:c r="B2" s="8"/>
      <x:c r="C2" s="8"/>
      <x:c r="D2" s="8"/>
      <x:c r="E2" s="8"/>
      <x:c r="F2" s="8"/>
    </x:row>
    <x:row r="3"/>
    <x:row r="4" ht="15" hidden="0" customHeight="1">
      <x:c r="A4" s="13" t="str">
        <x:v>适用方案</x:v>
      </x:c>
      <x:c r="B4" s="13" t="str">
        <x:v>日期</x:v>
      </x:c>
      <x:c r="C4" s="13" t="str">
        <x:v>城市/节点</x:v>
      </x:c>
      <x:c r="D4" s="13" t="str">
        <x:v>住宿</x:v>
      </x:c>
      <x:c r="E4" s="13" t="str">
        <x:v>状态</x:v>
      </x:c>
      <x:c r="F4" s="13" t="str">
        <x:v>备注</x:v>
      </x:c>
    </x:row>
    <x:row r="5" ht="26.399999618530273" hidden="0" customHeight="1">
      <x:c r="A5" s="16" t="str">
        <x:v>共用</x:v>
      </x:c>
      <x:c r="B5" s="16" t="str">
        <x:v>7月10日-11日</x:v>
      </x:c>
      <x:c r="C5" s="16" t="str">
        <x:v>乌鲁木齐</x:v>
      </x:c>
      <x:c r="D5" s="16" t="str">
        <x:v>如家NEO酒店（乌鲁木齐黄河路中医院和田二街店）</x:v>
      </x:c>
      <x:c r="E5" s="16" t="str">
        <x:v>已订</x:v>
      </x:c>
      <x:c r="F5" s="16" t="str">
        <x:v>7月10日入住、7月12日退房；确认凌晨入住和24小时前台</x:v>
      </x:c>
    </x:row>
    <x:row r="6" ht="15" hidden="0" customHeight="1">
      <x:c r="A6" s="16" t="str">
        <x:v>Plan A</x:v>
      </x:c>
      <x:c r="B6" s="16" t="str">
        <x:v>7月12日</x:v>
      </x:c>
      <x:c r="C6" s="16" t="str">
        <x:v>奎屯</x:v>
      </x:c>
      <x:c r="D6" s="16" t="str">
        <x:v>奎屯市酒店</x:v>
      </x:c>
      <x:c r="E6" s="16" t="str">
        <x:v>待订</x:v>
      </x:c>
      <x:c r="F6" s="16" t="str">
        <x:v>停车方便，次日早出发前往独库</x:v>
      </x:c>
    </x:row>
    <x:row r="7" ht="15" hidden="0" customHeight="1">
      <x:c r="A7" s="16" t="str">
        <x:v>Plan A</x:v>
      </x:c>
      <x:c r="B7" s="16" t="str">
        <x:v>7月13日</x:v>
      </x:c>
      <x:c r="C7" s="16" t="str">
        <x:v>新源</x:v>
      </x:c>
      <x:c r="D7" s="16" t="str">
        <x:v>新源县城酒店</x:v>
      </x:c>
      <x:c r="E7" s="16" t="str">
        <x:v>待订</x:v>
      </x:c>
      <x:c r="F7" s="16" t="str">
        <x:v>预计晚到，选择可晚入住并停车的酒店</x:v>
      </x:c>
    </x:row>
    <x:row r="8" ht="15" hidden="0" customHeight="1">
      <x:c r="A8" s="16" t="str">
        <x:v>Plan A</x:v>
      </x:c>
      <x:c r="B8" s="16" t="str">
        <x:v>7月14日</x:v>
      </x:c>
      <x:c r="C8" s="16" t="str">
        <x:v>库尔德宁</x:v>
      </x:c>
      <x:c r="D8" s="16" t="str">
        <x:v>库尔德宁镇/景区入口民宿</x:v>
      </x:c>
      <x:c r="E8" s="16" t="str">
        <x:v>待订</x:v>
      </x:c>
      <x:c r="F8" s="16" t="str">
        <x:v>确认停车、热水、晚餐与取消政策</x:v>
      </x:c>
    </x:row>
    <x:row r="9" ht="15" hidden="0" customHeight="1">
      <x:c r="A9" s="16" t="str">
        <x:v>Plan A</x:v>
      </x:c>
      <x:c r="B9" s="16" t="str">
        <x:v>7月15日</x:v>
      </x:c>
      <x:c r="C9" s="16" t="str">
        <x:v>特克斯</x:v>
      </x:c>
      <x:c r="D9" s="16" t="str">
        <x:v>特克斯县城酒店</x:v>
      </x:c>
      <x:c r="E9" s="16" t="str">
        <x:v>待订</x:v>
      </x:c>
      <x:c r="F9" s="16" t="str">
        <x:v>靠近餐饮，方便次日直接出发</x:v>
      </x:c>
    </x:row>
    <x:row r="10" ht="15" hidden="0" customHeight="1">
      <x:c r="A10" s="16" t="str">
        <x:v>Plan A</x:v>
      </x:c>
      <x:c r="B10" s="16" t="str">
        <x:v>7月16日</x:v>
      </x:c>
      <x:c r="C10" s="16" t="str">
        <x:v>昭苏</x:v>
      </x:c>
      <x:c r="D10" s="16" t="str">
        <x:v>昭苏县城酒店</x:v>
      </x:c>
      <x:c r="E10" s="16" t="str">
        <x:v>待订</x:v>
      </x:c>
      <x:c r="F10" s="16" t="str">
        <x:v>可晚入住、有停车位</x:v>
      </x:c>
    </x:row>
    <x:row r="11" ht="15" hidden="0" customHeight="1">
      <x:c r="A11" s="16" t="str">
        <x:v>Plan A</x:v>
      </x:c>
      <x:c r="B11" s="16" t="str">
        <x:v>7月17日</x:v>
      </x:c>
      <x:c r="C11" s="16" t="str">
        <x:v>伊宁</x:v>
      </x:c>
      <x:c r="D11" s="16" t="str">
        <x:v>伊宁市酒店</x:v>
      </x:c>
      <x:c r="E11" s="16" t="str">
        <x:v>待订</x:v>
      </x:c>
      <x:c r="F11" s="16" t="str">
        <x:v>方便前往喀赞其、六星街及次日出城</x:v>
      </x:c>
    </x:row>
    <x:row r="12" ht="15" hidden="0" customHeight="1">
      <x:c r="A12" s="16" t="str">
        <x:v>Plan A</x:v>
      </x:c>
      <x:c r="B12" s="16" t="str">
        <x:v>7月18日</x:v>
      </x:c>
      <x:c r="C12" s="16" t="str">
        <x:v>精河</x:v>
      </x:c>
      <x:c r="D12" s="16" t="str">
        <x:v>精河县城酒店</x:v>
      </x:c>
      <x:c r="E12" s="16" t="str">
        <x:v>待订</x:v>
      </x:c>
      <x:c r="F12" s="16" t="str">
        <x:v>靠近G30入口，便于D9早出发</x:v>
      </x:c>
    </x:row>
    <x:row r="13" ht="15" hidden="0" customHeight="1">
      <x:c r="A13" s="16" t="str">
        <x:v>Plan B</x:v>
      </x:c>
      <x:c r="B13" s="16" t="str">
        <x:v>待定</x:v>
      </x:c>
      <x:c r="C13" s="16" t="str">
        <x:v>绕行节点</x:v>
      </x:c>
      <x:c r="D13" s="16" t="str">
        <x:v>可取消酒店</x:v>
      </x:c>
      <x:c r="E13" s="16" t="str">
        <x:v>待规划</x:v>
      </x:c>
      <x:c r="F13" s="16" t="str">
        <x:v>优先收藏奎屯、伊宁、巩留等节点</x:v>
      </x:c>
    </x:row>
    <x:row r="14" ht="15" hidden="0" customHeight="1">
      <x:c r="A14" s="16" t="str">
        <x:v>Plan C</x:v>
      </x:c>
      <x:c r="B14" s="16" t="str">
        <x:v>待定</x:v>
      </x:c>
      <x:c r="C14" s="16" t="str">
        <x:v>城市/低海拔节点</x:v>
      </x:c>
      <x:c r="D14" s="16" t="str">
        <x:v>可取消酒店</x:v>
      </x:c>
      <x:c r="E14" s="16" t="str">
        <x:v>待规划</x:v>
      </x:c>
      <x:c r="F14" s="16" t="str">
        <x:v>根据天气和道路动态决定</x:v>
      </x:c>
    </x:row>
    <x:row r="15"/>
    <x:row r="16"/>
    <x:row r="17" ht="15" hidden="0" customHeight="1">
      <x:c r="A17" s="13" t="str">
        <x:v>适用方案</x:v>
      </x:c>
      <x:c r="B17" s="13" t="str">
        <x:v>类别</x:v>
      </x:c>
      <x:c r="C17" s="13" t="str">
        <x:v>事项</x:v>
      </x:c>
      <x:c r="D17" s="13" t="str">
        <x:v>状态</x:v>
      </x:c>
      <x:c r="E17" s="13" t="str">
        <x:v>完成时点</x:v>
      </x:c>
      <x:c r="F17" s="13" t="str">
        <x:v>说明</x:v>
      </x:c>
    </x:row>
    <x:row r="18" ht="15" hidden="0" customHeight="1">
      <x:c r="A18" s="16" t="str">
        <x:v>共用</x:v>
      </x:c>
      <x:c r="B18" s="16" t="str">
        <x:v>机票</x:v>
      </x:c>
      <x:c r="C18" s="16" t="str">
        <x:v>乌鲁木齐往返航班</x:v>
      </x:c>
      <x:c r="D18" s="16" t="str">
        <x:v>已完成</x:v>
      </x:c>
      <x:c r="E18" s="16" t="str">
        <x:v>出发前</x:v>
      </x:c>
      <x:c r="F18" s="16" t="str">
        <x:v>确认航站楼与行李额度</x:v>
      </x:c>
    </x:row>
    <x:row r="19" ht="15" hidden="0" customHeight="1">
      <x:c r="A19" s="16" t="str">
        <x:v>共用</x:v>
      </x:c>
      <x:c r="B19" s="16" t="str">
        <x:v>酒店</x:v>
      </x:c>
      <x:c r="C19" s="16" t="str">
        <x:v>乌鲁木齐如家NEO</x:v>
      </x:c>
      <x:c r="D19" s="16" t="str">
        <x:v>已完成</x:v>
      </x:c>
      <x:c r="E19" s="16" t="str">
        <x:v>已预订</x:v>
      </x:c>
      <x:c r="F19" s="16" t="str">
        <x:v>确认7月11日凌晨保留房间</x:v>
      </x:c>
    </x:row>
    <x:row r="20" ht="15" hidden="0" customHeight="1">
      <x:c r="A20" s="16" t="str">
        <x:v>共用</x:v>
      </x:c>
      <x:c r="B20" s="16" t="str">
        <x:v>租车</x:v>
      </x:c>
      <x:c r="C20" s="16" t="str">
        <x:v>神州租车国际大巴扎门店</x:v>
      </x:c>
      <x:c r="D20" s="16" t="str">
        <x:v>待确认</x:v>
      </x:c>
      <x:c r="E20" s="16" t="str">
        <x:v>7月11日晚</x:v>
      </x:c>
      <x:c r="F20" s="16" t="str">
        <x:v>门店营业时间、取还车材料、保险</x:v>
      </x:c>
    </x:row>
    <x:row r="21" ht="15" hidden="0" customHeight="1">
      <x:c r="A21" s="16" t="str">
        <x:v>Plan A</x:v>
      </x:c>
      <x:c r="B21" s="16" t="str">
        <x:v>道路</x:v>
      </x:c>
      <x:c r="C21" s="16" t="str">
        <x:v>独库公路北段预约</x:v>
      </x:c>
      <x:c r="D21" s="16" t="str">
        <x:v>待办理</x:v>
      </x:c>
      <x:c r="E21" s="16" t="str">
        <x:v>提前1-7天</x:v>
      </x:c>
      <x:c r="F21" s="16" t="str">
        <x:v>游新疆一码游；选择7月13日乌苏驿入口</x:v>
      </x:c>
    </x:row>
    <x:row r="22" ht="15" hidden="0" customHeight="1">
      <x:c r="A22" s="16" t="str">
        <x:v>Plan A</x:v>
      </x:c>
      <x:c r="B22" s="16" t="str">
        <x:v>道路</x:v>
      </x:c>
      <x:c r="C22" s="16" t="str">
        <x:v>伊昭公路开放状态</x:v>
      </x:c>
      <x:c r="D22" s="16" t="str">
        <x:v>待确认</x:v>
      </x:c>
      <x:c r="E22" s="16" t="str">
        <x:v>7月16日晚/17日早</x:v>
      </x:c>
      <x:c r="F22" s="16" t="str">
        <x:v>天气和交管决定是否切换方案</x:v>
      </x:c>
    </x:row>
    <x:row r="23" ht="15" hidden="0" customHeight="1">
      <x:c r="A23" s="16" t="str">
        <x:v>Plan A</x:v>
      </x:c>
      <x:c r="B23" s="16" t="str">
        <x:v>景区</x:v>
      </x:c>
      <x:c r="C23" s="16" t="str">
        <x:v>孟克特开放与车辆要求</x:v>
      </x:c>
      <x:c r="D23" s="16" t="str">
        <x:v>待确认</x:v>
      </x:c>
      <x:c r="E23" s="16" t="str">
        <x:v>出发前1-3天</x:v>
      </x:c>
      <x:c r="F23" s="16" t="str">
        <x:v>轿车/SUV要求、最晚入园</x:v>
      </x:c>
    </x:row>
    <x:row r="24" ht="15" hidden="0" customHeight="1">
      <x:c r="A24" s="16" t="str">
        <x:v>Plan A</x:v>
      </x:c>
      <x:c r="B24" s="16" t="str">
        <x:v>景区</x:v>
      </x:c>
      <x:c r="C24" s="16" t="str">
        <x:v>喀拉峻门票与线路</x:v>
      </x:c>
      <x:c r="D24" s="16" t="str">
        <x:v>待预约</x:v>
      </x:c>
      <x:c r="E24" s="16" t="str">
        <x:v>提前1-3天</x:v>
      </x:c>
      <x:c r="F24" s="16" t="str">
        <x:v>只选东西喀拉峻主线</x:v>
      </x:c>
    </x:row>
    <x:row r="25" ht="15" hidden="0" customHeight="1">
      <x:c r="A25" s="16" t="str">
        <x:v>Plan A</x:v>
      </x:c>
      <x:c r="B25" s="16" t="str">
        <x:v>景区</x:v>
      </x:c>
      <x:c r="C25" s="16" t="str">
        <x:v>夏塔门票与区间车</x:v>
      </x:c>
      <x:c r="D25" s="16" t="str">
        <x:v>待预约</x:v>
      </x:c>
      <x:c r="E25" s="16" t="str">
        <x:v>提前购票</x:v>
      </x:c>
      <x:c r="F25" s="16" t="str">
        <x:v>确认末班车与边防政策</x:v>
      </x:c>
    </x:row>
    <x:row r="26" ht="15" hidden="0" customHeight="1">
      <x:c r="A26" s="16" t="str">
        <x:v>Plan A</x:v>
      </x:c>
      <x:c r="B26" s="16" t="str">
        <x:v>景区</x:v>
      </x:c>
      <x:c r="C26" s="16" t="str">
        <x:v>赛里木湖自驾票</x:v>
      </x:c>
      <x:c r="D26" s="16" t="str">
        <x:v>待预约</x:v>
      </x:c>
      <x:c r="E26" s="16" t="str">
        <x:v>提前1-3天</x:v>
      </x:c>
      <x:c r="F26" s="16" t="str">
        <x:v>确认进出口和环湖方向</x:v>
      </x:c>
    </x:row>
    <x:row r="27" ht="15" hidden="0" customHeight="1">
      <x:c r="A27" s="16" t="str">
        <x:v>Plan B</x:v>
      </x:c>
      <x:c r="B27" s="16" t="str">
        <x:v>路线</x:v>
      </x:c>
      <x:c r="C27" s="16" t="str">
        <x:v>独库封路绕行路线</x:v>
      </x:c>
      <x:c r="D27" s="16" t="str">
        <x:v>待规划</x:v>
      </x:c>
      <x:c r="E27" s="16" t="str">
        <x:v>D3前一晚</x:v>
      </x:c>
      <x:c r="F27" s="16" t="str">
        <x:v>触发后立即更新住宿和里程</x:v>
      </x:c>
    </x:row>
    <x:row r="28" ht="15" hidden="0" customHeight="1">
      <x:c r="A28" s="16" t="str">
        <x:v>Plan C</x:v>
      </x:c>
      <x:c r="B28" s="16" t="str">
        <x:v>路线</x:v>
      </x:c>
      <x:c r="C28" s="16" t="str">
        <x:v>极端天气保守路线</x:v>
      </x:c>
      <x:c r="D28" s="16" t="str">
        <x:v>待规划</x:v>
      </x:c>
      <x:c r="E28" s="16" t="str">
        <x:v>出发前/行程中</x:v>
      </x:c>
      <x:c r="F28" s="16" t="str">
        <x:v>优先道路等级高、低海拔节点</x:v>
      </x:c>
    </x:row>
  </x:sheetData>
  <x:mergeCells>
    <x:mergeCell ref="A1:F1"/>
    <x:mergeCell ref="A2:F2"/>
  </x:mergeCells>
  <x:conditionalFormatting sqref="E5:E14">
    <x:cfRule type="containsText" dxfId="4" priority="1" operator="containsText" text="已订"/>
  </x:conditionalFormatting>
  <x:conditionalFormatting sqref="D18:D28">
    <x:cfRule type="containsText" dxfId="5" priority="2" operator="containsText" text="已完成"/>
  </x:conditionalFormatting>
  <x:dataValidations count="2">
    <x:dataValidation type="list" sqref="E5:E14">
      <x:formula1>"已订,待订,待规划,无需住宿"</x:formula1>
    </x:dataValidation>
    <x:dataValidation type="list" sqref="D18:D28">
      <x:formula1>"已完成,待确认,待办理,待预约,待规划,不适用"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14" hidden="0" customWidth="1"/>
    <x:col min="5" max="5" width="45" hidden="0" customWidth="1"/>
  </x:cols>
  <x:sheetData>
    <x:row r="1" ht="21.600000381469727" hidden="0" customHeight="1">
      <x:c r="A1" s="4" t="str">
        <x:v>必带物品与准备进度</x:v>
      </x:c>
      <x:c r="B1" s="4"/>
      <x:c r="C1" s="4"/>
      <x:c r="D1" s="4"/>
      <x:c r="E1" s="4"/>
    </x:row>
    <x:row r="2" ht="15" hidden="0" customHeight="1">
      <x:c r="A2" s="8" t="str">
        <x:v>状态列可选择“未准备 / 已准备 / 不适用”，顶部进度由公式自动计算。</x:v>
      </x:c>
      <x:c r="B2" s="8"/>
      <x:c r="C2" s="8"/>
      <x:c r="D2" s="8"/>
      <x:c r="E2" s="8"/>
    </x:row>
    <x:row r="3"/>
    <x:row r="4" ht="15" hidden="0" customHeight="1">
      <x:c r="A4" s="32" t="str">
        <x:v>总项目</x:v>
      </x:c>
      <x:c r="B4" s="33" t="n">
        <x:v>20</x:v>
      </x:c>
    </x:row>
    <x:row r="5" ht="15" hidden="0" customHeight="1">
      <x:c r="A5" s="34" t="str">
        <x:v>已准备</x:v>
      </x:c>
      <x:c r="B5" s="35" t="n">
        <x:f>COUNTIF(D10:D29,"已准备")</x:f>
        <x:v>0</x:v>
      </x:c>
    </x:row>
    <x:row r="6" ht="15" hidden="0" customHeight="1">
      <x:c r="A6" s="36" t="str">
        <x:v>准备进度</x:v>
      </x:c>
      <x:c r="B6" s="37" t="n">
        <x:f>IF(B4=0,0,B5/B4)</x:f>
        <x:v>0</x:v>
      </x:c>
    </x:row>
    <x:row r="7"/>
    <x:row r="8"/>
    <x:row r="9" ht="15" hidden="0" customHeight="1">
      <x:c r="A9" s="13" t="str">
        <x:v>适用方案</x:v>
      </x:c>
      <x:c r="B9" s="13" t="str">
        <x:v>类别</x:v>
      </x:c>
      <x:c r="C9" s="13" t="str">
        <x:v>物品/事项</x:v>
      </x:c>
      <x:c r="D9" s="13" t="str">
        <x:v>状态</x:v>
      </x:c>
      <x:c r="E9" s="13" t="str">
        <x:v>说明</x:v>
      </x:c>
    </x:row>
    <x:row r="10" ht="15" hidden="0" customHeight="1">
      <x:c r="A10" s="16" t="str">
        <x:v>共用</x:v>
      </x:c>
      <x:c r="B10" s="16" t="str">
        <x:v>证件与订单</x:v>
      </x:c>
      <x:c r="C10" s="16" t="str">
        <x:v>身份证原件</x:v>
      </x:c>
      <x:c r="D10" s="16" t="str">
        <x:v>未准备</x:v>
      </x:c>
      <x:c r="E10" s="16" t="str">
        <x:v>全程加油、住宿、景区可能使用</x:v>
      </x:c>
    </x:row>
    <x:row r="11" ht="15" hidden="0" customHeight="1">
      <x:c r="A11" s="16" t="str">
        <x:v>共用</x:v>
      </x:c>
      <x:c r="B11" s="16" t="str">
        <x:v>证件与订单</x:v>
      </x:c>
      <x:c r="C11" s="16" t="str">
        <x:v>驾驶证、租车订单和保险凭证</x:v>
      </x:c>
      <x:c r="D11" s="16" t="str">
        <x:v>未准备</x:v>
      </x:c>
      <x:c r="E11" s="16" t="str"/>
    </x:row>
    <x:row r="12" ht="15" hidden="0" customHeight="1">
      <x:c r="A12" s="16" t="str">
        <x:v>共用</x:v>
      </x:c>
      <x:c r="B12" s="16" t="str">
        <x:v>证件与订单</x:v>
      </x:c>
      <x:c r="C12" s="16" t="str">
        <x:v>酒店订单与联系电话</x:v>
      </x:c>
      <x:c r="D12" s="16" t="str">
        <x:v>未准备</x:v>
      </x:c>
      <x:c r="E12" s="16" t="str"/>
    </x:row>
    <x:row r="13" ht="15" hidden="0" customHeight="1">
      <x:c r="A13" s="16" t="str">
        <x:v>共用</x:v>
      </x:c>
      <x:c r="B13" s="16" t="str">
        <x:v>证件与订单</x:v>
      </x:c>
      <x:c r="C13" s="16" t="str">
        <x:v>昭苏/夏塔边防证或最新政策确认</x:v>
      </x:c>
      <x:c r="D13" s="16" t="str">
        <x:v>未准备</x:v>
      </x:c>
      <x:c r="E13" s="16" t="str"/>
    </x:row>
    <x:row r="14" ht="15" hidden="0" customHeight="1">
      <x:c r="A14" s="16" t="str">
        <x:v>共用</x:v>
      </x:c>
      <x:c r="B14" s="16" t="str">
        <x:v>预约与路况</x:v>
      </x:c>
      <x:c r="C14" s="16" t="str">
        <x:v>独库预约截图</x:v>
      </x:c>
      <x:c r="D14" s="16" t="str">
        <x:v>未准备</x:v>
      </x:c>
      <x:c r="E14" s="16" t="str">
        <x:v>Plan A关键依赖</x:v>
      </x:c>
    </x:row>
    <x:row r="15" ht="15" hidden="0" customHeight="1">
      <x:c r="A15" s="16" t="str">
        <x:v>共用</x:v>
      </x:c>
      <x:c r="B15" s="16" t="str">
        <x:v>预约与路况</x:v>
      </x:c>
      <x:c r="C15" s="16" t="str">
        <x:v>夏塔、喀拉峻、赛里木湖预约</x:v>
      </x:c>
      <x:c r="D15" s="16" t="str">
        <x:v>未准备</x:v>
      </x:c>
      <x:c r="E15" s="16" t="str"/>
    </x:row>
    <x:row r="16" ht="15" hidden="0" customHeight="1">
      <x:c r="A16" s="16" t="str">
        <x:v>共用</x:v>
      </x:c>
      <x:c r="B16" s="16" t="str">
        <x:v>预约与路况</x:v>
      </x:c>
      <x:c r="C16" s="16" t="str">
        <x:v>高德离线地图</x:v>
      </x:c>
      <x:c r="D16" s="16" t="str">
        <x:v>未准备</x:v>
      </x:c>
      <x:c r="E16" s="16" t="str">
        <x:v>山区信号不稳定</x:v>
      </x:c>
    </x:row>
    <x:row r="17" ht="15" hidden="0" customHeight="1">
      <x:c r="A17" s="16" t="str">
        <x:v>共用</x:v>
      </x:c>
      <x:c r="B17" s="16" t="str">
        <x:v>衣物防护</x:v>
      </x:c>
      <x:c r="C17" s="16" t="str">
        <x:v>冲锋衣或薄羽绒服</x:v>
      </x:c>
      <x:c r="D17" s="16" t="str">
        <x:v>未准备</x:v>
      </x:c>
      <x:c r="E17" s="16" t="str">
        <x:v>独库、夏塔、赛里木湖</x:v>
      </x:c>
    </x:row>
    <x:row r="18" ht="15" hidden="0" customHeight="1">
      <x:c r="A18" s="16" t="str">
        <x:v>共用</x:v>
      </x:c>
      <x:c r="B18" s="16" t="str">
        <x:v>衣物防护</x:v>
      </x:c>
      <x:c r="C18" s="16" t="str">
        <x:v>防滑徒步鞋与备用袜子</x:v>
      </x:c>
      <x:c r="D18" s="16" t="str">
        <x:v>未准备</x:v>
      </x:c>
      <x:c r="E18" s="16" t="str"/>
    </x:row>
    <x:row r="19" ht="15" hidden="0" customHeight="1">
      <x:c r="A19" s="16" t="str">
        <x:v>共用</x:v>
      </x:c>
      <x:c r="B19" s="16" t="str">
        <x:v>衣物防护</x:v>
      </x:c>
      <x:c r="C19" s="16" t="str">
        <x:v>SPF50+防晒、帽子、墨镜、冰袖</x:v>
      </x:c>
      <x:c r="D19" s="16" t="str">
        <x:v>未准备</x:v>
      </x:c>
      <x:c r="E19" s="16" t="str"/>
    </x:row>
    <x:row r="20" ht="15" hidden="0" customHeight="1">
      <x:c r="A20" s="16" t="str">
        <x:v>共用</x:v>
      </x:c>
      <x:c r="B20" s="16" t="str">
        <x:v>衣物防护</x:v>
      </x:c>
      <x:c r="C20" s="16" t="str">
        <x:v>雨衣、防蚊液</x:v>
      </x:c>
      <x:c r="D20" s="16" t="str">
        <x:v>未准备</x:v>
      </x:c>
      <x:c r="E20" s="16" t="str"/>
    </x:row>
    <x:row r="21" ht="15" hidden="0" customHeight="1">
      <x:c r="A21" s="16" t="str">
        <x:v>共用</x:v>
      </x:c>
      <x:c r="B21" s="16" t="str">
        <x:v>车辆电子</x:v>
      </x:c>
      <x:c r="C21" s="16" t="str">
        <x:v>轮胎、备胎、刹车、玻璃水检查</x:v>
      </x:c>
      <x:c r="D21" s="16" t="str">
        <x:v>未准备</x:v>
      </x:c>
      <x:c r="E21" s="16" t="str">
        <x:v>取车时拍摄视频</x:v>
      </x:c>
    </x:row>
    <x:row r="22" ht="15" hidden="0" customHeight="1">
      <x:c r="A22" s="16" t="str">
        <x:v>共用</x:v>
      </x:c>
      <x:c r="B22" s="16" t="str">
        <x:v>车辆电子</x:v>
      </x:c>
      <x:c r="C22" s="16" t="str">
        <x:v>车载充电器、充电线、充电宝</x:v>
      </x:c>
      <x:c r="D22" s="16" t="str">
        <x:v>未准备</x:v>
      </x:c>
      <x:c r="E22" s="16" t="str"/>
    </x:row>
    <x:row r="23" ht="15" hidden="0" customHeight="1">
      <x:c r="A23" s="16" t="str">
        <x:v>共用</x:v>
      </x:c>
      <x:c r="B23" s="16" t="str">
        <x:v>车辆电子</x:v>
      </x:c>
      <x:c r="C23" s="16" t="str">
        <x:v>手机支架与离线导航</x:v>
      </x:c>
      <x:c r="D23" s="16" t="str">
        <x:v>未准备</x:v>
      </x:c>
      <x:c r="E23" s="16" t="str"/>
    </x:row>
    <x:row r="24" ht="15" hidden="0" customHeight="1">
      <x:c r="A24" s="16" t="str">
        <x:v>共用</x:v>
      </x:c>
      <x:c r="B24" s="16" t="str">
        <x:v>补给药品</x:v>
      </x:c>
      <x:c r="C24" s="16" t="str">
        <x:v>饮用水、保温杯、路餐</x:v>
      </x:c>
      <x:c r="D24" s="16" t="str">
        <x:v>未准备</x:v>
      </x:c>
      <x:c r="E24" s="16" t="str"/>
    </x:row>
    <x:row r="25" ht="15" hidden="0" customHeight="1">
      <x:c r="A25" s="16" t="str">
        <x:v>共用</x:v>
      </x:c>
      <x:c r="B25" s="16" t="str">
        <x:v>补给药品</x:v>
      </x:c>
      <x:c r="C25" s="16" t="str">
        <x:v>感冒、肠胃、晕车、止痛药</x:v>
      </x:c>
      <x:c r="D25" s="16" t="str">
        <x:v>未准备</x:v>
      </x:c>
      <x:c r="E25" s="16" t="str"/>
    </x:row>
    <x:row r="26" ht="15" hidden="0" customHeight="1">
      <x:c r="A26" s="16" t="str">
        <x:v>共用</x:v>
      </x:c>
      <x:c r="B26" s="16" t="str">
        <x:v>补给药品</x:v>
      </x:c>
      <x:c r="C26" s="16" t="str">
        <x:v>创可贴、消毒湿巾、小急救包</x:v>
      </x:c>
      <x:c r="D26" s="16" t="str">
        <x:v>未准备</x:v>
      </x:c>
      <x:c r="E26" s="16" t="str"/>
    </x:row>
    <x:row r="27" ht="15" hidden="0" customHeight="1">
      <x:c r="A27" s="16" t="str">
        <x:v>共用</x:v>
      </x:c>
      <x:c r="B27" s="16" t="str">
        <x:v>补给药品</x:v>
      </x:c>
      <x:c r="C27" s="16" t="str">
        <x:v>垃圾袋、纸巾和湿巾</x:v>
      </x:c>
      <x:c r="D27" s="16" t="str">
        <x:v>未准备</x:v>
      </x:c>
      <x:c r="E27" s="16" t="str"/>
    </x:row>
    <x:row r="28" ht="15" hidden="0" customHeight="1">
      <x:c r="A28" s="16" t="str">
        <x:v>共用</x:v>
      </x:c>
      <x:c r="B28" s="16" t="str">
        <x:v>最终确认</x:v>
      </x:c>
      <x:c r="C28" s="16" t="str">
        <x:v>天气、路况和景区开放状态</x:v>
      </x:c>
      <x:c r="D28" s="16" t="str">
        <x:v>未准备</x:v>
      </x:c>
      <x:c r="E28" s="16" t="str">
        <x:v>出发前7天、3天、前一晚</x:v>
      </x:c>
    </x:row>
    <x:row r="29" ht="15" hidden="0" customHeight="1">
      <x:c r="A29" s="16" t="str">
        <x:v>共用</x:v>
      </x:c>
      <x:c r="B29" s="16" t="str">
        <x:v>最终确认</x:v>
      </x:c>
      <x:c r="C29" s="16" t="str">
        <x:v>Plan B/C关键住宿收藏</x:v>
      </x:c>
      <x:c r="D29" s="16" t="str">
        <x:v>未准备</x:v>
      </x:c>
      <x:c r="E29" s="16" t="str">
        <x:v>选择可取消酒店</x:v>
      </x:c>
    </x:row>
  </x:sheetData>
  <x:mergeCells>
    <x:mergeCell ref="A1:E1"/>
    <x:mergeCell ref="A2:E2"/>
  </x:mergeCells>
  <x:conditionalFormatting sqref="D10:D29">
    <x:cfRule type="containsText" dxfId="6" priority="1" operator="containsText" text="已准备"/>
    <x:cfRule type="containsText" dxfId="7" priority="2" operator="containsText" text="未准备"/>
    <x:cfRule type="containsText" dxfId="8" priority="3" operator="containsText" text="不适用"/>
  </x:conditionalFormatting>
  <x:dataValidations count="1">
    <x:dataValidation type="list" sqref="D10:D29">
      <x:formula1>"未准备,已准备,不适用"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40fb88bb864423"/>
  </x:tableParts>
</x:worksheet>
</file>